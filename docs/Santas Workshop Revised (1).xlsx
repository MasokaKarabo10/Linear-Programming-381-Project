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mc:AlternateContent xmlns:mc="http://schemas.openxmlformats.org/markup-compatibility/2006">
    <mc:Choice Requires="x15">
      <x15ac:absPath xmlns:x15ac="http://schemas.microsoft.com/office/spreadsheetml/2010/11/ac" url="C:\Users\User\Desktop\Primal &amp; Dual Simplex\"/>
    </mc:Choice>
  </mc:AlternateContent>
  <bookViews>
    <workbookView xWindow="0" yWindow="2535" windowWidth="15345" windowHeight="5895"/>
  </bookViews>
  <sheets>
    <sheet name="LP" sheetId="11" r:id="rId1"/>
    <sheet name="SR" sheetId="4" r:id="rId2"/>
    <sheet name="Math. Prelims." sheetId="7" r:id="rId3"/>
    <sheet name="Algo - Primal Simplex" sheetId="1" r:id="rId4"/>
    <sheet name="Algo - Revised Primal Simplex" sheetId="10" r:id="rId5"/>
  </sheets>
  <definedNames>
    <definedName name="solver_adj" localSheetId="3" hidden="1">#REF!</definedName>
    <definedName name="solver_cvg" localSheetId="3" hidden="1">0.0001</definedName>
    <definedName name="solver_drv" localSheetId="3" hidden="1">1</definedName>
    <definedName name="solver_eng" localSheetId="3" hidden="1">2</definedName>
    <definedName name="solver_est" localSheetId="3" hidden="1">1</definedName>
    <definedName name="solver_itr" localSheetId="3" hidden="1">2147483647</definedName>
    <definedName name="solver_lhs1" localSheetId="3" hidden="1">#REF!</definedName>
    <definedName name="solver_lhs2" localSheetId="3" hidden="1">'Algo - Primal Simplex'!#REF!</definedName>
    <definedName name="solver_lhs3" localSheetId="3" hidden="1">'Algo - Primal Simplex'!#REF!</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'Algo - Primal Simplex'!#REF!</definedName>
    <definedName name="solver_pre" localSheetId="3" hidden="1">0.000001</definedName>
    <definedName name="solver_rbv" localSheetId="3" hidden="1">1</definedName>
    <definedName name="solver_rel1" localSheetId="3" hidden="1">3</definedName>
    <definedName name="solver_rel2" localSheetId="3" hidden="1">1</definedName>
    <definedName name="solver_rel3" localSheetId="3" hidden="1">1</definedName>
    <definedName name="solver_rhs1" localSheetId="3" hidden="1">#REF!</definedName>
    <definedName name="solver_rhs2" localSheetId="3" hidden="1">'Algo - Primal Simplex'!#REF!</definedName>
    <definedName name="solver_rhs3" localSheetId="3" hidden="1">'Algo - Primal Simplex'!#REF!</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7" i="11" l="1"/>
  <c r="N18" i="11"/>
  <c r="K20" i="11" a="1"/>
  <c r="K20" i="11" s="1"/>
  <c r="L25" i="11"/>
  <c r="E40" i="11"/>
  <c r="E41" i="11"/>
  <c r="E42" i="11"/>
  <c r="C45" i="11"/>
  <c r="T70" i="10" l="1"/>
  <c r="S70" i="10"/>
  <c r="T53" i="10"/>
  <c r="S53" i="10"/>
  <c r="T36" i="10"/>
  <c r="S36" i="10"/>
  <c r="N19" i="10"/>
  <c r="M19" i="10"/>
  <c r="T67" i="10" l="1"/>
  <c r="S67" i="10"/>
  <c r="E70" i="10"/>
  <c r="D70" i="10"/>
  <c r="C70" i="10"/>
  <c r="E67" i="10"/>
  <c r="D67" i="10"/>
  <c r="C67" i="10"/>
  <c r="E53" i="10"/>
  <c r="S50" i="10"/>
  <c r="C50" i="10"/>
  <c r="C53" i="10"/>
  <c r="E50" i="10"/>
  <c r="T50" i="10"/>
  <c r="D53" i="10"/>
  <c r="D50" i="10"/>
  <c r="T33" i="10"/>
  <c r="S33" i="10"/>
  <c r="D36" i="10"/>
  <c r="C36" i="10"/>
  <c r="E36" i="10"/>
  <c r="E33" i="10"/>
  <c r="D33" i="10"/>
  <c r="C33" i="10"/>
  <c r="E17" i="10"/>
  <c r="D17" i="10"/>
  <c r="C17" i="10"/>
  <c r="E14" i="10"/>
  <c r="D14" i="10"/>
  <c r="C14" i="10"/>
  <c r="O22" i="10" a="1"/>
  <c r="O22" i="10" s="1"/>
  <c r="M22" i="10" a="1"/>
  <c r="M22" i="10" s="1"/>
  <c r="P22" i="10" l="1"/>
  <c r="T38" i="10"/>
  <c r="O23" i="10"/>
  <c r="O24" i="10"/>
  <c r="M23" i="10"/>
  <c r="M24" i="10"/>
  <c r="P24" i="10" l="1"/>
  <c r="P23" i="10"/>
  <c r="L33" i="10" a="1"/>
  <c r="L34" i="10" l="1"/>
  <c r="L35" i="10"/>
  <c r="N35" i="10" s="1"/>
  <c r="L33" i="10"/>
  <c r="N33" i="10" l="1"/>
  <c r="N34" i="10"/>
  <c r="J38" i="10" l="1" a="1"/>
  <c r="J38" i="10" l="1"/>
  <c r="J40" i="10"/>
  <c r="J39" i="10"/>
  <c r="L38" i="10" l="1" a="1"/>
  <c r="N39" i="10" l="1"/>
  <c r="M38" i="10"/>
  <c r="L40" i="10"/>
  <c r="N38" i="10"/>
  <c r="M40" i="10"/>
  <c r="L39" i="10"/>
  <c r="N40" i="10"/>
  <c r="M39" i="10"/>
  <c r="L38" i="10"/>
  <c r="S39" i="10" l="1" a="1"/>
  <c r="U39" i="10" a="1"/>
  <c r="C39" i="10" a="1"/>
  <c r="U39" i="10" l="1"/>
  <c r="U41" i="10"/>
  <c r="U40" i="10"/>
  <c r="S39" i="10"/>
  <c r="S40" i="10"/>
  <c r="S41" i="10"/>
  <c r="D39" i="10"/>
  <c r="C39" i="10"/>
  <c r="E39" i="10"/>
  <c r="S38" i="10" l="1"/>
  <c r="L50" i="10" a="1"/>
  <c r="V40" i="10"/>
  <c r="V39" i="10"/>
  <c r="L51" i="10" l="1"/>
  <c r="L50" i="10"/>
  <c r="N50" i="10" s="1"/>
  <c r="L52" i="10"/>
  <c r="N52" i="10" l="1"/>
  <c r="N51" i="10"/>
  <c r="H55" i="10" l="1" a="1"/>
  <c r="H57" i="10" s="1"/>
  <c r="H55" i="10" l="1"/>
  <c r="H56" i="10"/>
  <c r="L55" i="10" l="1" a="1"/>
  <c r="N56" i="10" s="1"/>
  <c r="N55" i="10" l="1"/>
  <c r="L56" i="10"/>
  <c r="M55" i="10"/>
  <c r="M57" i="10"/>
  <c r="M56" i="10"/>
  <c r="N57" i="10"/>
  <c r="L55" i="10"/>
  <c r="L57" i="10"/>
  <c r="U56" i="10" l="1" a="1"/>
  <c r="U56" i="10" s="1"/>
  <c r="T56" i="10" a="1"/>
  <c r="T56" i="10" s="1"/>
  <c r="C56" i="10" a="1"/>
  <c r="D56" i="10" s="1"/>
  <c r="V56" i="10" l="1"/>
  <c r="E56" i="10"/>
  <c r="U57" i="10"/>
  <c r="U58" i="10"/>
  <c r="C56" i="10"/>
  <c r="T58" i="10"/>
  <c r="T57" i="10"/>
  <c r="V57" i="10" s="1"/>
  <c r="V58" i="10" l="1"/>
  <c r="T55" i="10"/>
  <c r="S55" i="10"/>
  <c r="L67" i="10" a="1"/>
  <c r="L68" i="10" l="1"/>
  <c r="N68" i="10" s="1"/>
  <c r="L67" i="10"/>
  <c r="L69" i="10"/>
  <c r="N69" i="10" s="1"/>
  <c r="N67" i="10" l="1"/>
  <c r="I72" i="10" s="1" a="1"/>
  <c r="I73" i="10" s="1"/>
  <c r="I74" i="10" l="1"/>
  <c r="I72" i="10"/>
  <c r="L72" i="10" l="1" a="1"/>
  <c r="M74" i="10" s="1"/>
  <c r="M72" i="10" l="1"/>
  <c r="L73" i="10"/>
  <c r="N72" i="10"/>
  <c r="L74" i="10"/>
  <c r="N73" i="10"/>
  <c r="N74" i="10"/>
  <c r="M73" i="10"/>
  <c r="L72" i="10"/>
  <c r="N16" i="10"/>
  <c r="M16" i="10"/>
  <c r="C20" i="10" a="1"/>
  <c r="D82" i="10" l="1" a="1"/>
  <c r="D82" i="10" s="1"/>
  <c r="C82" i="10" a="1"/>
  <c r="C83" i="10" s="1"/>
  <c r="H82" i="10" a="1"/>
  <c r="H83" i="10" s="1"/>
  <c r="F82" i="10" a="1"/>
  <c r="F83" i="10" s="1"/>
  <c r="D83" i="10"/>
  <c r="C82" i="10"/>
  <c r="E82" i="10" a="1"/>
  <c r="G82" i="10" a="1"/>
  <c r="C73" i="10" a="1"/>
  <c r="D20" i="10"/>
  <c r="E20" i="10"/>
  <c r="C20" i="10"/>
  <c r="H82" i="10" l="1"/>
  <c r="F82" i="10"/>
  <c r="C84" i="10"/>
  <c r="F84" i="10"/>
  <c r="D84" i="10"/>
  <c r="H84" i="10"/>
  <c r="C73" i="10"/>
  <c r="E73" i="10"/>
  <c r="D73" i="10"/>
  <c r="E83" i="10"/>
  <c r="E82" i="10"/>
  <c r="E84" i="10"/>
  <c r="G82" i="10"/>
  <c r="G84" i="10"/>
  <c r="G83" i="10"/>
  <c r="N21" i="10"/>
  <c r="M21" i="10"/>
  <c r="D81" i="10" l="1"/>
  <c r="H81" i="10"/>
  <c r="E81" i="10"/>
  <c r="S72" i="10"/>
  <c r="F81" i="10"/>
  <c r="C81" i="10"/>
  <c r="G81" i="10"/>
  <c r="T72" i="10"/>
  <c r="AN15" i="7" a="1"/>
  <c r="AN15" i="7" s="1"/>
  <c r="AG21" i="7" a="1"/>
  <c r="AG21" i="7" s="1"/>
  <c r="AG12" i="7" a="1"/>
  <c r="AG12" i="7" s="1"/>
  <c r="AG3" i="7" a="1"/>
  <c r="AG3" i="7" s="1"/>
  <c r="Z21" i="7" a="1"/>
  <c r="Z21" i="7" s="1"/>
  <c r="Z12" i="7" a="1"/>
  <c r="Z12" i="7" s="1"/>
  <c r="Z3" i="7" a="1"/>
  <c r="Z3" i="7" s="1"/>
  <c r="AP10" i="7"/>
  <c r="AN9" i="7" a="1"/>
  <c r="AN9" i="7" s="1"/>
  <c r="AP4" i="7"/>
  <c r="AN3" i="7" a="1"/>
  <c r="AN3" i="7" s="1"/>
  <c r="M14" i="7" a="1"/>
  <c r="M14" i="7" s="1"/>
  <c r="N9" i="7" a="1"/>
  <c r="N9" i="7" s="1"/>
  <c r="M9" i="7" a="1"/>
  <c r="M9" i="7" s="1"/>
  <c r="S6" i="7"/>
  <c r="R6" i="7"/>
  <c r="Q6" i="7"/>
  <c r="N6" i="7"/>
  <c r="M6" i="7"/>
  <c r="S9" i="7" a="1"/>
  <c r="S9" i="7" s="1"/>
  <c r="R9" i="7" a="1"/>
  <c r="R9" i="7" s="1"/>
  <c r="Q9" i="7" a="1"/>
  <c r="Q9" i="7" s="1"/>
  <c r="AN16" i="7" l="1"/>
  <c r="AN17" i="7"/>
  <c r="AG4" i="7"/>
  <c r="Z13" i="7"/>
  <c r="AG22" i="7"/>
  <c r="AG23" i="7"/>
  <c r="Z22" i="7"/>
  <c r="AG13" i="7"/>
  <c r="AG14" i="7"/>
  <c r="AG5" i="7"/>
  <c r="Z23" i="7"/>
  <c r="Z14" i="7"/>
  <c r="Z4" i="7"/>
  <c r="Z5" i="7"/>
  <c r="AN10" i="7"/>
  <c r="AN11" i="7"/>
  <c r="AN4" i="7"/>
  <c r="AN5" i="7"/>
  <c r="M15" i="7"/>
  <c r="M16" i="7"/>
  <c r="N10" i="7"/>
  <c r="N11" i="7"/>
  <c r="M10" i="7"/>
  <c r="M11" i="7"/>
  <c r="S10" i="7"/>
  <c r="S11" i="7"/>
  <c r="R10" i="7"/>
  <c r="R11" i="7"/>
  <c r="Q10" i="7"/>
  <c r="Q11" i="7"/>
  <c r="O14" i="7" l="1"/>
  <c r="R16" i="7"/>
  <c r="O20" i="7" s="1"/>
  <c r="R15" i="7"/>
  <c r="N20" i="7" s="1"/>
  <c r="S15" i="7"/>
  <c r="N21" i="7" s="1"/>
  <c r="R14" i="7"/>
  <c r="M20" i="7" s="1"/>
  <c r="S14" i="7"/>
  <c r="M21" i="7" s="1"/>
  <c r="Q14" i="7"/>
  <c r="M19" i="7" s="1"/>
  <c r="Q15" i="7"/>
  <c r="N19" i="7" s="1"/>
  <c r="S16" i="7"/>
  <c r="O21" i="7" s="1"/>
  <c r="Q16" i="7"/>
  <c r="O19" i="7" s="1"/>
  <c r="O15" i="7"/>
  <c r="D22" i="1"/>
  <c r="E22" i="1"/>
  <c r="F22" i="1"/>
  <c r="G22" i="1"/>
  <c r="H22" i="1"/>
  <c r="I22" i="1"/>
  <c r="J16" i="1"/>
  <c r="J15" i="1"/>
  <c r="J14" i="1"/>
  <c r="Q19" i="7" l="1" a="1"/>
  <c r="I19" i="1"/>
  <c r="D19" i="1"/>
  <c r="H21" i="1"/>
  <c r="E20" i="1"/>
  <c r="E26" i="1" s="1"/>
  <c r="E28" i="1" s="1"/>
  <c r="D21" i="1"/>
  <c r="F21" i="1"/>
  <c r="G19" i="1"/>
  <c r="E19" i="1"/>
  <c r="E25" i="1" s="1"/>
  <c r="F20" i="1"/>
  <c r="H20" i="1"/>
  <c r="G20" i="1"/>
  <c r="I20" i="1"/>
  <c r="D20" i="1"/>
  <c r="E21" i="1"/>
  <c r="H19" i="1"/>
  <c r="F19" i="1"/>
  <c r="G21" i="1"/>
  <c r="I21" i="1"/>
  <c r="G26" i="1" l="1"/>
  <c r="G28" i="1" s="1"/>
  <c r="F26" i="1"/>
  <c r="F28" i="1" s="1"/>
  <c r="D26" i="1"/>
  <c r="D28" i="1" s="1"/>
  <c r="H26" i="1"/>
  <c r="H28" i="1" s="1"/>
  <c r="G25" i="1"/>
  <c r="F27" i="1"/>
  <c r="E27" i="1"/>
  <c r="J21" i="1"/>
  <c r="Q19" i="7"/>
  <c r="R21" i="7"/>
  <c r="Q20" i="7"/>
  <c r="S21" i="7"/>
  <c r="R20" i="7"/>
  <c r="S20" i="7"/>
  <c r="R19" i="7"/>
  <c r="Q21" i="7"/>
  <c r="S19" i="7"/>
  <c r="J20" i="1"/>
  <c r="I26" i="1"/>
  <c r="F18" i="7" l="1" a="1"/>
  <c r="H18" i="7" a="1"/>
  <c r="D18" i="7" a="1"/>
  <c r="G18" i="7" a="1"/>
  <c r="E18" i="7" a="1"/>
  <c r="C18" i="7" a="1"/>
  <c r="G27" i="1"/>
  <c r="D25" i="1"/>
  <c r="F25" i="1"/>
  <c r="H27" i="1"/>
  <c r="E33" i="1" s="1"/>
  <c r="E32" i="1" s="1"/>
  <c r="H25" i="1"/>
  <c r="D27" i="1"/>
  <c r="M24" i="7" a="1"/>
  <c r="O24" i="7" s="1"/>
  <c r="AC21" i="7" a="1"/>
  <c r="AC12" i="7" a="1"/>
  <c r="V21" i="7" a="1"/>
  <c r="V3" i="7" a="1"/>
  <c r="AC3" i="7" a="1"/>
  <c r="V12" i="7" a="1"/>
  <c r="J26" i="1"/>
  <c r="I25" i="1"/>
  <c r="I28" i="1"/>
  <c r="I27" i="1"/>
  <c r="G18" i="7" l="1"/>
  <c r="G19" i="7"/>
  <c r="G20" i="7"/>
  <c r="C18" i="7"/>
  <c r="C19" i="7"/>
  <c r="C20" i="7"/>
  <c r="H18" i="7"/>
  <c r="H19" i="7"/>
  <c r="H20" i="7"/>
  <c r="D18" i="7"/>
  <c r="D19" i="7"/>
  <c r="D20" i="7"/>
  <c r="E18" i="7"/>
  <c r="E19" i="7"/>
  <c r="E20" i="7"/>
  <c r="F18" i="7"/>
  <c r="F19" i="7"/>
  <c r="F20" i="7"/>
  <c r="D33" i="1"/>
  <c r="D32" i="1" s="1"/>
  <c r="G33" i="1"/>
  <c r="G32" i="1" s="1"/>
  <c r="M24" i="7"/>
  <c r="N24" i="7"/>
  <c r="AJ16" i="7" s="1" a="1"/>
  <c r="D31" i="1"/>
  <c r="E31" i="1"/>
  <c r="E34" i="1"/>
  <c r="H33" i="1"/>
  <c r="F33" i="1"/>
  <c r="AS4" i="7" a="1"/>
  <c r="AC21" i="7"/>
  <c r="AE22" i="7"/>
  <c r="AD21" i="7"/>
  <c r="AC23" i="7"/>
  <c r="AE21" i="7"/>
  <c r="AD23" i="7"/>
  <c r="AC22" i="7"/>
  <c r="AE23" i="7"/>
  <c r="AD22" i="7"/>
  <c r="V3" i="7"/>
  <c r="W5" i="7"/>
  <c r="V4" i="7"/>
  <c r="X5" i="7"/>
  <c r="W4" i="7"/>
  <c r="X4" i="7"/>
  <c r="W3" i="7"/>
  <c r="V5" i="7"/>
  <c r="X3" i="7"/>
  <c r="AC12" i="7"/>
  <c r="AC13" i="7"/>
  <c r="AD14" i="7"/>
  <c r="AD12" i="7"/>
  <c r="AE13" i="7"/>
  <c r="AC14" i="7"/>
  <c r="AE12" i="7"/>
  <c r="AE14" i="7"/>
  <c r="AD13" i="7"/>
  <c r="V12" i="7"/>
  <c r="W12" i="7"/>
  <c r="X13" i="7"/>
  <c r="V13" i="7"/>
  <c r="W14" i="7"/>
  <c r="X14" i="7"/>
  <c r="W13" i="7"/>
  <c r="V14" i="7"/>
  <c r="X12" i="7"/>
  <c r="AC3" i="7"/>
  <c r="AD3" i="7"/>
  <c r="AE4" i="7"/>
  <c r="AC4" i="7"/>
  <c r="AD5" i="7"/>
  <c r="AE5" i="7"/>
  <c r="AD4" i="7"/>
  <c r="AC5" i="7"/>
  <c r="AE3" i="7"/>
  <c r="V21" i="7"/>
  <c r="V22" i="7"/>
  <c r="W23" i="7"/>
  <c r="W21" i="7"/>
  <c r="X22" i="7"/>
  <c r="V23" i="7"/>
  <c r="X21" i="7"/>
  <c r="X23" i="7"/>
  <c r="W22" i="7"/>
  <c r="J28" i="1"/>
  <c r="I33" i="1"/>
  <c r="I32" i="1" s="1"/>
  <c r="J27" i="1"/>
  <c r="G34" i="1" l="1"/>
  <c r="D34" i="1"/>
  <c r="I31" i="1"/>
  <c r="D17" i="7"/>
  <c r="H17" i="7"/>
  <c r="E17" i="7"/>
  <c r="F17" i="7"/>
  <c r="G17" i="7"/>
  <c r="C17" i="7"/>
  <c r="G31" i="1"/>
  <c r="AJ4" i="7" a="1"/>
  <c r="AK4" i="7" s="1"/>
  <c r="AS16" i="7" a="1"/>
  <c r="AS16" i="7" s="1"/>
  <c r="AJ10" i="7" a="1"/>
  <c r="AJ10" i="7" s="1"/>
  <c r="AS10" i="7" a="1"/>
  <c r="H32" i="1"/>
  <c r="H34" i="1"/>
  <c r="H31" i="1"/>
  <c r="F32" i="1"/>
  <c r="F31" i="1"/>
  <c r="F34" i="1"/>
  <c r="AS10" i="7"/>
  <c r="AT10" i="7"/>
  <c r="AS12" i="7" s="1"/>
  <c r="AU10" i="7"/>
  <c r="AJ16" i="7"/>
  <c r="AK16" i="7"/>
  <c r="AL16" i="7"/>
  <c r="AC25" i="7" a="1"/>
  <c r="AS4" i="7"/>
  <c r="AS6" i="7" s="1"/>
  <c r="AU4" i="7"/>
  <c r="AT4" i="7"/>
  <c r="AC7" i="7" a="1"/>
  <c r="AC16" i="7" a="1"/>
  <c r="AJ4" i="7"/>
  <c r="V25" i="7" a="1"/>
  <c r="V16" i="7" a="1"/>
  <c r="V7" i="7" a="1"/>
  <c r="I34" i="1"/>
  <c r="AT16" i="7" l="1"/>
  <c r="AU16" i="7"/>
  <c r="AS18" i="7" s="1"/>
  <c r="AL4" i="7"/>
  <c r="AJ6" i="7" s="1"/>
  <c r="AK10" i="7"/>
  <c r="AL10" i="7"/>
  <c r="AJ18" i="7" a="1"/>
  <c r="AJ18" i="7" s="1"/>
  <c r="AC27" i="7"/>
  <c r="AC26" i="7"/>
  <c r="AC25" i="7"/>
  <c r="V16" i="7"/>
  <c r="V18" i="7"/>
  <c r="V17" i="7"/>
  <c r="AC7" i="7"/>
  <c r="AC9" i="7"/>
  <c r="AC8" i="7"/>
  <c r="V7" i="7"/>
  <c r="V8" i="7"/>
  <c r="V9" i="7"/>
  <c r="V27" i="7"/>
  <c r="V26" i="7"/>
  <c r="V25" i="7"/>
  <c r="AC18" i="7"/>
  <c r="AC17" i="7"/>
  <c r="AC16" i="7"/>
  <c r="AJ12" i="7" l="1"/>
</calcChain>
</file>

<file path=xl/comments1.xml><?xml version="1.0" encoding="utf-8"?>
<comments xmlns="http://schemas.openxmlformats.org/spreadsheetml/2006/main">
  <authors>
    <author>Andries J. Welgemoed</author>
  </authors>
  <commentList>
    <comment ref="A1" authorId="0" shapeId="0">
      <text>
        <r>
          <rPr>
            <b/>
            <sz val="11"/>
            <color indexed="81"/>
            <rFont val="Tahoma"/>
            <family val="2"/>
          </rPr>
          <t>Andries J. Welgemoed:</t>
        </r>
        <r>
          <rPr>
            <sz val="11"/>
            <color indexed="81"/>
            <rFont val="Tahoma"/>
            <family val="2"/>
          </rPr>
          <t xml:space="preserve">
Mathematical Sensitivity Analysis</t>
        </r>
      </text>
    </comment>
  </commentList>
</comments>
</file>

<file path=xl/comments2.xml><?xml version="1.0" encoding="utf-8"?>
<comments xmlns="http://schemas.openxmlformats.org/spreadsheetml/2006/main">
  <authors>
    <author>Author</author>
  </authors>
  <commentList>
    <comment ref="B3" authorId="0" shapeId="0">
      <text>
        <r>
          <rPr>
            <b/>
            <sz val="11"/>
            <color indexed="81"/>
            <rFont val="Tahoma"/>
            <family val="2"/>
          </rPr>
          <t>A. J. Welgemoed:</t>
        </r>
        <r>
          <rPr>
            <sz val="11"/>
            <color indexed="81"/>
            <rFont val="Tahoma"/>
            <family val="2"/>
          </rPr>
          <t xml:space="preserve">
</t>
        </r>
        <r>
          <rPr>
            <b/>
            <sz val="11"/>
            <color indexed="81"/>
            <rFont val="Tahoma"/>
            <family val="2"/>
          </rPr>
          <t>Canonical Form: Sensitivity Analysis.</t>
        </r>
        <r>
          <rPr>
            <sz val="11"/>
            <color indexed="81"/>
            <rFont val="Tahoma"/>
            <family val="2"/>
          </rPr>
          <t xml:space="preserve">
</t>
        </r>
        <r>
          <rPr>
            <b/>
            <sz val="11"/>
            <color indexed="81"/>
            <rFont val="Tahoma"/>
            <family val="2"/>
          </rPr>
          <t>Step 1</t>
        </r>
        <r>
          <rPr>
            <sz val="11"/>
            <color indexed="81"/>
            <rFont val="Tahoma"/>
            <family val="2"/>
          </rPr>
          <t xml:space="preserve">: All variables with negative sign restrictions are multiplied with negative 1 throughout the model in order to change the variable to positive sign restriction.
</t>
        </r>
        <r>
          <rPr>
            <b/>
            <sz val="11"/>
            <color indexed="81"/>
            <rFont val="Tahoma"/>
            <family val="2"/>
          </rPr>
          <t>Step 2</t>
        </r>
        <r>
          <rPr>
            <sz val="11"/>
            <color indexed="81"/>
            <rFont val="Tahoma"/>
            <family val="2"/>
          </rPr>
          <t xml:space="preserve">: All variables with both positive and negative sign restrictions are split into a negative and positive variable throughout the model in order to change the variable to two positive sign restrictions.
</t>
        </r>
        <r>
          <rPr>
            <b/>
            <sz val="11"/>
            <color indexed="81"/>
            <rFont val="Tahoma"/>
            <family val="2"/>
          </rPr>
          <t>Step 3</t>
        </r>
        <r>
          <rPr>
            <sz val="11"/>
            <color indexed="81"/>
            <rFont val="Tahoma"/>
            <family val="2"/>
          </rPr>
          <t xml:space="preserve">: (z) Objective function moved to the LHS, multiplied with negative 1 and set equal to 0.
</t>
        </r>
        <r>
          <rPr>
            <b/>
            <sz val="11"/>
            <color indexed="81"/>
            <rFont val="Tahoma"/>
            <family val="2"/>
          </rPr>
          <t>Step 4</t>
        </r>
        <r>
          <rPr>
            <sz val="11"/>
            <color indexed="81"/>
            <rFont val="Tahoma"/>
            <family val="2"/>
          </rPr>
          <t xml:space="preserve">: Constraints with "less than" constraint signs: Slack variable added to compensate for the difference in inequality in the equation when removing the "less than" constraint sign.
</t>
        </r>
        <r>
          <rPr>
            <b/>
            <sz val="11"/>
            <color indexed="81"/>
            <rFont val="Tahoma"/>
            <family val="2"/>
          </rPr>
          <t>Step 5</t>
        </r>
        <r>
          <rPr>
            <sz val="11"/>
            <color indexed="81"/>
            <rFont val="Tahoma"/>
            <family val="2"/>
          </rPr>
          <t xml:space="preserve">: Constraints with "greater than" constraint signs: Excess variable subtracted to compensate for the difference in inequality in the equation when removing the "greater than" constraint sign. 
</t>
        </r>
        <r>
          <rPr>
            <b/>
            <sz val="11"/>
            <color indexed="81"/>
            <rFont val="Tahoma"/>
            <family val="2"/>
          </rPr>
          <t>Step 6</t>
        </r>
        <r>
          <rPr>
            <sz val="11"/>
            <color indexed="81"/>
            <rFont val="Tahoma"/>
            <family val="2"/>
          </rPr>
          <t xml:space="preserve">: Constraints with "equal" constraint signs: Constraint is split into two similar constraints. One constraint with an "equal" constraint sign is changed to a "less than" constraint sign and one constraint with an "equal" constraint sign is changed to a "greater than" constraint sign. Constraint with "less than" constraint signs: Slack variable added to compensate for the difference in inequality in the equation when removing the "less than" constraint sign. Constraint with "greater than" constraint signs: Excess variable subtracted to compensate for the difference in inequality in the equation when removing the "greater than" constraint sign. 
</t>
        </r>
      </text>
    </comment>
  </commentList>
</comments>
</file>

<file path=xl/comments3.xml><?xml version="1.0" encoding="utf-8"?>
<comments xmlns="http://schemas.openxmlformats.org/spreadsheetml/2006/main">
  <authors>
    <author>Author</author>
  </authors>
  <commentList>
    <comment ref="B3" authorId="0" shapeId="0">
      <text>
        <r>
          <rPr>
            <b/>
            <sz val="11"/>
            <color indexed="81"/>
            <rFont val="Tahoma"/>
            <family val="2"/>
          </rPr>
          <t>A. J. Welgemoed:</t>
        </r>
        <r>
          <rPr>
            <sz val="11"/>
            <color indexed="81"/>
            <rFont val="Tahoma"/>
            <family val="2"/>
          </rPr>
          <t xml:space="preserve">
</t>
        </r>
        <r>
          <rPr>
            <b/>
            <sz val="11"/>
            <color indexed="81"/>
            <rFont val="Tahoma"/>
            <family val="2"/>
          </rPr>
          <t>Canonical Form: Primal Simplex Algorithm.</t>
        </r>
        <r>
          <rPr>
            <sz val="11"/>
            <color indexed="81"/>
            <rFont val="Tahoma"/>
            <family val="2"/>
          </rPr>
          <t xml:space="preserve">
</t>
        </r>
        <r>
          <rPr>
            <b/>
            <sz val="11"/>
            <color indexed="81"/>
            <rFont val="Tahoma"/>
            <family val="2"/>
          </rPr>
          <t>Step 1</t>
        </r>
        <r>
          <rPr>
            <sz val="11"/>
            <color indexed="81"/>
            <rFont val="Tahoma"/>
            <family val="2"/>
          </rPr>
          <t xml:space="preserve">: All variables with negative sign restrictions are multiplied with negative 1 throughout the model in order to change the variable to positive sign restriction.
</t>
        </r>
        <r>
          <rPr>
            <b/>
            <sz val="11"/>
            <color indexed="81"/>
            <rFont val="Tahoma"/>
            <family val="2"/>
          </rPr>
          <t>Step 2</t>
        </r>
        <r>
          <rPr>
            <sz val="11"/>
            <color indexed="81"/>
            <rFont val="Tahoma"/>
            <family val="2"/>
          </rPr>
          <t xml:space="preserve">: All variables with both positive and negative sign restrictions are split into a negative and positive variable throughout the model in order to change the variable to two positive sign restrictions.
</t>
        </r>
        <r>
          <rPr>
            <b/>
            <sz val="11"/>
            <color indexed="81"/>
            <rFont val="Tahoma"/>
            <family val="2"/>
          </rPr>
          <t>Step 3</t>
        </r>
        <r>
          <rPr>
            <sz val="11"/>
            <color indexed="81"/>
            <rFont val="Tahoma"/>
            <family val="2"/>
          </rPr>
          <t xml:space="preserve">: (z) Objective function moved to the LHS and set equal to 0.
</t>
        </r>
        <r>
          <rPr>
            <b/>
            <sz val="11"/>
            <color indexed="81"/>
            <rFont val="Tahoma"/>
            <family val="2"/>
          </rPr>
          <t>Step 4</t>
        </r>
        <r>
          <rPr>
            <sz val="11"/>
            <color indexed="81"/>
            <rFont val="Tahoma"/>
            <family val="2"/>
          </rPr>
          <t>: Constraints with "less than" constraint signs: Slack variable added to compensate for the difference in inequality in the equation when removing the  "less than" constraint sign.</t>
        </r>
      </text>
    </comment>
    <comment ref="C12" authorId="0" shapeId="0">
      <text>
        <r>
          <rPr>
            <b/>
            <sz val="11"/>
            <color indexed="81"/>
            <rFont val="Tahoma"/>
            <family val="2"/>
          </rPr>
          <t>A. J. Welgemoed:</t>
        </r>
        <r>
          <rPr>
            <sz val="11"/>
            <color indexed="81"/>
            <rFont val="Tahoma"/>
            <family val="2"/>
          </rPr>
          <t xml:space="preserve">
</t>
        </r>
        <r>
          <rPr>
            <b/>
            <sz val="11"/>
            <color indexed="81"/>
            <rFont val="Tahoma"/>
            <family val="2"/>
          </rPr>
          <t>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The largest negative (z) objective function coefficient selected as pivoting column. If multiple largest negative (z) objective function coefficients exists, the variable on the left is selected as pivoting column. If no largest negative (z) objective function coefficient exists, then tabluea is optimal, procede to </t>
        </r>
        <r>
          <rPr>
            <b/>
            <sz val="11"/>
            <color indexed="81"/>
            <rFont val="Tahoma"/>
            <family val="2"/>
          </rPr>
          <t>Step 4</t>
        </r>
        <r>
          <rPr>
            <sz val="11"/>
            <color indexed="81"/>
            <rFont val="Tahoma"/>
            <family val="2"/>
          </rPr>
          <t xml:space="preserve">.
</t>
        </r>
        <r>
          <rPr>
            <b/>
            <sz val="11"/>
            <color indexed="81"/>
            <rFont val="Tahoma"/>
            <family val="2"/>
          </rPr>
          <t>Step 2</t>
        </r>
        <r>
          <rPr>
            <sz val="11"/>
            <color indexed="81"/>
            <rFont val="Tahoma"/>
            <family val="2"/>
          </rPr>
          <t xml:space="preserve">: A ratio is calculated based on the RHS value of the each constraint, divided by the corresponding selected pivoting column coefficient. The ratio with the smallest positive value is selected as pivoting row. If multiple smallest positive ratios exists, the ratio on top is selected as pivoting row. If the RHS value of the constraint is 0 and the corresponding selected pivoting column coefficient is positive, the resulting 0 ratio is a valid ratio and should be selected as the pivoting row. If the RHS value of the constraint is 0 and the corresponding selected pivoting column coefficient is negative, the resulting 0 ratio is a degenerate ratio and should not be selected as the pivoting row. If no positive ratio exists, the Linear Programming Model is considered a Case 4 Model and is unbounded, then stop algorithm.
</t>
        </r>
        <r>
          <rPr>
            <b/>
            <sz val="11"/>
            <color indexed="81"/>
            <rFont val="Tahoma"/>
            <family val="2"/>
          </rPr>
          <t>Step 3</t>
        </r>
        <r>
          <rPr>
            <sz val="11"/>
            <color indexed="81"/>
            <rFont val="Tahoma"/>
            <family val="2"/>
          </rPr>
          <t xml:space="preserve">: Commence pivoting operation.
</t>
        </r>
        <r>
          <rPr>
            <b/>
            <sz val="11"/>
            <color indexed="81"/>
            <rFont val="Tahoma"/>
            <family val="2"/>
          </rPr>
          <t>Step 3a</t>
        </r>
        <r>
          <rPr>
            <sz val="11"/>
            <color indexed="81"/>
            <rFont val="Tahoma"/>
            <family val="2"/>
          </rPr>
          <t xml:space="preserve">: Elements in the pivoting row: each element in the pivoting row is caluclated by each element in the pivoting row divided by the intersecting pivoting row and pivoting column.
</t>
        </r>
        <r>
          <rPr>
            <b/>
            <sz val="11"/>
            <color indexed="81"/>
            <rFont val="Tahoma"/>
            <family val="2"/>
          </rPr>
          <t>Step 3b</t>
        </r>
        <r>
          <rPr>
            <sz val="11"/>
            <color indexed="81"/>
            <rFont val="Tahoma"/>
            <family val="2"/>
          </rPr>
          <t xml:space="preserve">: Elements not in the pivoting row: each element not in the pivoting row is calculated by the corrosponding element in the pivoting column multiplied by the corrosponding calculated element in the pivoting row from </t>
        </r>
        <r>
          <rPr>
            <b/>
            <sz val="11"/>
            <color indexed="81"/>
            <rFont val="Tahoma"/>
            <family val="2"/>
          </rPr>
          <t>Step 3a</t>
        </r>
        <r>
          <rPr>
            <sz val="11"/>
            <color indexed="81"/>
            <rFont val="Tahoma"/>
            <family val="2"/>
          </rPr>
          <t xml:space="preserve">, and then subtracted by the corrosponding element of the pivoting row and column. Repeat </t>
        </r>
        <r>
          <rPr>
            <b/>
            <sz val="11"/>
            <color indexed="81"/>
            <rFont val="Tahoma"/>
            <family val="2"/>
          </rPr>
          <t>Step 1</t>
        </r>
        <r>
          <rPr>
            <sz val="11"/>
            <color indexed="81"/>
            <rFont val="Tahoma"/>
            <family val="2"/>
          </rPr>
          <t xml:space="preserve">.
</t>
        </r>
        <r>
          <rPr>
            <b/>
            <sz val="11"/>
            <color indexed="81"/>
            <rFont val="Tahoma"/>
            <family val="2"/>
          </rPr>
          <t>Step 4</t>
        </r>
        <r>
          <rPr>
            <sz val="11"/>
            <color indexed="81"/>
            <rFont val="Tahoma"/>
            <family val="2"/>
          </rPr>
          <t>: Basic variables are identified in order of coefficient with the value of 1 in respective column, from top to bottom. Non-Basic variables are identified in order of left to right.</t>
        </r>
      </text>
    </comment>
    <comment ref="C18" authorId="0" shapeId="0">
      <text>
        <r>
          <rPr>
            <b/>
            <sz val="11"/>
            <color indexed="81"/>
            <rFont val="Tahoma"/>
            <family val="2"/>
          </rPr>
          <t>A. J. Welgemoed:</t>
        </r>
        <r>
          <rPr>
            <sz val="11"/>
            <color indexed="81"/>
            <rFont val="Tahoma"/>
            <family val="2"/>
          </rPr>
          <t xml:space="preserve">
</t>
        </r>
        <r>
          <rPr>
            <b/>
            <sz val="11"/>
            <color indexed="81"/>
            <rFont val="Tahoma"/>
            <family val="2"/>
          </rPr>
          <t>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The largest negative (z) objective function coefficient selected as pivoting column. If multiple largest negative (z) objective function coefficients exists, the variable on the left is selected as pivoting column. If no largest negative (z) objective function coefficient exists, then tabluea is optimal, procede to </t>
        </r>
        <r>
          <rPr>
            <b/>
            <sz val="11"/>
            <color indexed="81"/>
            <rFont val="Tahoma"/>
            <family val="2"/>
          </rPr>
          <t>Step 4</t>
        </r>
        <r>
          <rPr>
            <sz val="11"/>
            <color indexed="81"/>
            <rFont val="Tahoma"/>
            <family val="2"/>
          </rPr>
          <t xml:space="preserve">.
</t>
        </r>
        <r>
          <rPr>
            <b/>
            <sz val="11"/>
            <color indexed="81"/>
            <rFont val="Tahoma"/>
            <family val="2"/>
          </rPr>
          <t>Step 2</t>
        </r>
        <r>
          <rPr>
            <sz val="11"/>
            <color indexed="81"/>
            <rFont val="Tahoma"/>
            <family val="2"/>
          </rPr>
          <t xml:space="preserve">: A ratio is calculated based on the RHS value of the each constraint, divided by the corresponding selected pivoting column coefficient. The ratio with the smallest positive value is selected as pivoting row. If multiple smallest positive ratios exists, the ratio on top is selected as pivoting row. If the RHS value of the constraint is 0 and the corresponding selected pivoting column coefficient is positive, the resulting 0 ratio is a valid ratio and should be selected as the pivoting row. If the RHS value of the constraint is 0 and the corresponding selected pivoting column coefficient is negative, the resulting 0 ratio is a degenerate ratio and should not be selected as the pivoting row. If no positive ratio exists, the Linear Programming Model is considered a Case 4 Model and is unbounded, then stop algorithm.
</t>
        </r>
        <r>
          <rPr>
            <b/>
            <sz val="11"/>
            <color indexed="81"/>
            <rFont val="Tahoma"/>
            <family val="2"/>
          </rPr>
          <t>Step 3</t>
        </r>
        <r>
          <rPr>
            <sz val="11"/>
            <color indexed="81"/>
            <rFont val="Tahoma"/>
            <family val="2"/>
          </rPr>
          <t xml:space="preserve">: Commence pivoting operation.
</t>
        </r>
        <r>
          <rPr>
            <b/>
            <sz val="11"/>
            <color indexed="81"/>
            <rFont val="Tahoma"/>
            <family val="2"/>
          </rPr>
          <t>Step 3a</t>
        </r>
        <r>
          <rPr>
            <sz val="11"/>
            <color indexed="81"/>
            <rFont val="Tahoma"/>
            <family val="2"/>
          </rPr>
          <t xml:space="preserve">: Elements in the pivoting row: each element in the pivoting row is caluclated by each element in the pivoting row divided by the intersecting pivoting row and pivoting column.
</t>
        </r>
        <r>
          <rPr>
            <b/>
            <sz val="11"/>
            <color indexed="81"/>
            <rFont val="Tahoma"/>
            <family val="2"/>
          </rPr>
          <t>Step 3b</t>
        </r>
        <r>
          <rPr>
            <sz val="11"/>
            <color indexed="81"/>
            <rFont val="Tahoma"/>
            <family val="2"/>
          </rPr>
          <t xml:space="preserve">: Elements not in the pivoting row: each element not in the pivoting row is calculated by the corrosponding element in the pivoting column multiplied by the corrosponding calculated element in the pivoting row from </t>
        </r>
        <r>
          <rPr>
            <b/>
            <sz val="11"/>
            <color indexed="81"/>
            <rFont val="Tahoma"/>
            <family val="2"/>
          </rPr>
          <t>Step 3a</t>
        </r>
        <r>
          <rPr>
            <sz val="11"/>
            <color indexed="81"/>
            <rFont val="Tahoma"/>
            <family val="2"/>
          </rPr>
          <t xml:space="preserve">, and then subtracted by the corrosponding element of the pivoting row and column. Repeat </t>
        </r>
        <r>
          <rPr>
            <b/>
            <sz val="11"/>
            <color indexed="81"/>
            <rFont val="Tahoma"/>
            <family val="2"/>
          </rPr>
          <t>Step 1</t>
        </r>
        <r>
          <rPr>
            <sz val="11"/>
            <color indexed="81"/>
            <rFont val="Tahoma"/>
            <family val="2"/>
          </rPr>
          <t xml:space="preserve">.
</t>
        </r>
        <r>
          <rPr>
            <b/>
            <sz val="11"/>
            <color indexed="81"/>
            <rFont val="Tahoma"/>
            <family val="2"/>
          </rPr>
          <t>Step 4</t>
        </r>
        <r>
          <rPr>
            <sz val="11"/>
            <color indexed="81"/>
            <rFont val="Tahoma"/>
            <family val="2"/>
          </rPr>
          <t>: Basic variables are identified in order of coefficient with the value of 1 in respective column, from top to bottom. Non-Basic variables are identified in order of left to right.</t>
        </r>
      </text>
    </comment>
    <comment ref="C24" authorId="0" shapeId="0">
      <text>
        <r>
          <rPr>
            <b/>
            <sz val="11"/>
            <color indexed="81"/>
            <rFont val="Tahoma"/>
            <family val="2"/>
          </rPr>
          <t>A. J. Welgemoed:</t>
        </r>
        <r>
          <rPr>
            <sz val="11"/>
            <color indexed="81"/>
            <rFont val="Tahoma"/>
            <family val="2"/>
          </rPr>
          <t xml:space="preserve">
</t>
        </r>
        <r>
          <rPr>
            <b/>
            <sz val="11"/>
            <color indexed="81"/>
            <rFont val="Tahoma"/>
            <family val="2"/>
          </rPr>
          <t>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The largest negative (z) objective function coefficient selected as pivoting column. If multiple largest negative (z) objective function coefficients exists, the variable on the left is selected as pivoting column. If no largest negative (z) objective function coefficient exists, then tabluea is optimal, procede to </t>
        </r>
        <r>
          <rPr>
            <b/>
            <sz val="11"/>
            <color indexed="81"/>
            <rFont val="Tahoma"/>
            <family val="2"/>
          </rPr>
          <t>Step 4</t>
        </r>
        <r>
          <rPr>
            <sz val="11"/>
            <color indexed="81"/>
            <rFont val="Tahoma"/>
            <family val="2"/>
          </rPr>
          <t xml:space="preserve">.
</t>
        </r>
        <r>
          <rPr>
            <b/>
            <sz val="11"/>
            <color indexed="81"/>
            <rFont val="Tahoma"/>
            <family val="2"/>
          </rPr>
          <t>Step 2</t>
        </r>
        <r>
          <rPr>
            <sz val="11"/>
            <color indexed="81"/>
            <rFont val="Tahoma"/>
            <family val="2"/>
          </rPr>
          <t xml:space="preserve">: A ratio is calculated based on the RHS value of the each constraint, divided by the corresponding selected pivoting column coefficient. The ratio with the smallest positive value is selected as pivoting row. If multiple smallest positive ratios exists, the ratio on top is selected as pivoting row. If the RHS value of the constraint is 0 and the corresponding selected pivoting column coefficient is positive, the resulting 0 ratio is a valid ratio and should be selected as the pivoting row. If the RHS value of the constraint is 0 and the corresponding selected pivoting column coefficient is negative, the resulting 0 ratio is a degenerate ratio and should not be selected as the pivoting row. If no positive ratio exists, the Linear Programming Model is considered a Case 4 Model and is unbounded, then stop algorithm.
</t>
        </r>
        <r>
          <rPr>
            <b/>
            <sz val="11"/>
            <color indexed="81"/>
            <rFont val="Tahoma"/>
            <family val="2"/>
          </rPr>
          <t>Step 3</t>
        </r>
        <r>
          <rPr>
            <sz val="11"/>
            <color indexed="81"/>
            <rFont val="Tahoma"/>
            <family val="2"/>
          </rPr>
          <t xml:space="preserve">: Commence pivoting operation.
</t>
        </r>
        <r>
          <rPr>
            <b/>
            <sz val="11"/>
            <color indexed="81"/>
            <rFont val="Tahoma"/>
            <family val="2"/>
          </rPr>
          <t>Step 3a</t>
        </r>
        <r>
          <rPr>
            <sz val="11"/>
            <color indexed="81"/>
            <rFont val="Tahoma"/>
            <family val="2"/>
          </rPr>
          <t xml:space="preserve">: Elements in the pivoting row: each element in the pivoting row is caluclated by each element in the pivoting row divided by the intersecting pivoting row and pivoting column.
</t>
        </r>
        <r>
          <rPr>
            <b/>
            <sz val="11"/>
            <color indexed="81"/>
            <rFont val="Tahoma"/>
            <family val="2"/>
          </rPr>
          <t>Step 3b</t>
        </r>
        <r>
          <rPr>
            <sz val="11"/>
            <color indexed="81"/>
            <rFont val="Tahoma"/>
            <family val="2"/>
          </rPr>
          <t xml:space="preserve">: Elements not in the pivoting row: each element not in the pivoting row is calculated by the corrosponding element in the pivoting column multiplied by the corrosponding calculated element in the pivoting row from </t>
        </r>
        <r>
          <rPr>
            <b/>
            <sz val="11"/>
            <color indexed="81"/>
            <rFont val="Tahoma"/>
            <family val="2"/>
          </rPr>
          <t>Step 3a</t>
        </r>
        <r>
          <rPr>
            <sz val="11"/>
            <color indexed="81"/>
            <rFont val="Tahoma"/>
            <family val="2"/>
          </rPr>
          <t xml:space="preserve">, and then subtracted by the corrosponding element of the pivoting row and column. Repeat </t>
        </r>
        <r>
          <rPr>
            <b/>
            <sz val="11"/>
            <color indexed="81"/>
            <rFont val="Tahoma"/>
            <family val="2"/>
          </rPr>
          <t>Step 1</t>
        </r>
        <r>
          <rPr>
            <sz val="11"/>
            <color indexed="81"/>
            <rFont val="Tahoma"/>
            <family val="2"/>
          </rPr>
          <t xml:space="preserve">.
</t>
        </r>
        <r>
          <rPr>
            <b/>
            <sz val="11"/>
            <color indexed="81"/>
            <rFont val="Tahoma"/>
            <family val="2"/>
          </rPr>
          <t>Step 4</t>
        </r>
        <r>
          <rPr>
            <sz val="11"/>
            <color indexed="81"/>
            <rFont val="Tahoma"/>
            <family val="2"/>
          </rPr>
          <t>: Basic variables are identified in order of coefficient with the value of 1 in respective column, from top to bottom. Non-Basic variables are identified in order of left to right.</t>
        </r>
      </text>
    </comment>
    <comment ref="C30" authorId="0" shapeId="0">
      <text>
        <r>
          <rPr>
            <b/>
            <sz val="11"/>
            <color indexed="81"/>
            <rFont val="Tahoma"/>
            <family val="2"/>
          </rPr>
          <t>A. J. Welgemoed:</t>
        </r>
        <r>
          <rPr>
            <sz val="11"/>
            <color indexed="81"/>
            <rFont val="Tahoma"/>
            <family val="2"/>
          </rPr>
          <t xml:space="preserve">
</t>
        </r>
        <r>
          <rPr>
            <b/>
            <sz val="11"/>
            <color indexed="81"/>
            <rFont val="Tahoma"/>
            <family val="2"/>
          </rPr>
          <t>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The largest negative (z) objective function coefficient selected as pivoting column. If multiple largest negative (z) objective function coefficients exists, the variable on the left is selected as pivoting column. If no largest negative (z) objective function coefficient exists, then tabluea is optimal, procede to </t>
        </r>
        <r>
          <rPr>
            <b/>
            <sz val="11"/>
            <color indexed="81"/>
            <rFont val="Tahoma"/>
            <family val="2"/>
          </rPr>
          <t>Step 4</t>
        </r>
        <r>
          <rPr>
            <sz val="11"/>
            <color indexed="81"/>
            <rFont val="Tahoma"/>
            <family val="2"/>
          </rPr>
          <t xml:space="preserve">.
</t>
        </r>
        <r>
          <rPr>
            <b/>
            <sz val="11"/>
            <color indexed="81"/>
            <rFont val="Tahoma"/>
            <family val="2"/>
          </rPr>
          <t>Step 2</t>
        </r>
        <r>
          <rPr>
            <sz val="11"/>
            <color indexed="81"/>
            <rFont val="Tahoma"/>
            <family val="2"/>
          </rPr>
          <t xml:space="preserve">: A ratio is calculated based on the RHS value of the each constraint, divided by the corresponding selected pivoting column coefficient. The ratio with the smallest positive value is selected as pivoting row. If multiple smallest positive ratios exists, the ratio on top is selected as pivoting row. If the RHS value of the constraint is 0 and the corresponding selected pivoting column coefficient is positive, the resulting 0 ratio is a valid ratio and should be selected as the pivoting row. If the RHS value of the constraint is 0 and the corresponding selected pivoting column coefficient is negative, the resulting 0 ratio is a degenerate ratio and should not be selected as the pivoting row. If no positive ratio exists, the Linear Programming Model is considered a Case 4 Model and is unbounded, then stop algorithm.
</t>
        </r>
        <r>
          <rPr>
            <b/>
            <sz val="11"/>
            <color indexed="81"/>
            <rFont val="Tahoma"/>
            <family val="2"/>
          </rPr>
          <t>Step 3</t>
        </r>
        <r>
          <rPr>
            <sz val="11"/>
            <color indexed="81"/>
            <rFont val="Tahoma"/>
            <family val="2"/>
          </rPr>
          <t xml:space="preserve">: Commence pivoting operation.
</t>
        </r>
        <r>
          <rPr>
            <b/>
            <sz val="11"/>
            <color indexed="81"/>
            <rFont val="Tahoma"/>
            <family val="2"/>
          </rPr>
          <t>Step 3a</t>
        </r>
        <r>
          <rPr>
            <sz val="11"/>
            <color indexed="81"/>
            <rFont val="Tahoma"/>
            <family val="2"/>
          </rPr>
          <t xml:space="preserve">: Elements in the pivoting row: each element in the pivoting row is caluclated by each element in the pivoting row divided by the intersecting pivoting row and pivoting column.
</t>
        </r>
        <r>
          <rPr>
            <b/>
            <sz val="11"/>
            <color indexed="81"/>
            <rFont val="Tahoma"/>
            <family val="2"/>
          </rPr>
          <t>Step 3b</t>
        </r>
        <r>
          <rPr>
            <sz val="11"/>
            <color indexed="81"/>
            <rFont val="Tahoma"/>
            <family val="2"/>
          </rPr>
          <t xml:space="preserve">: Elements not in the pivoting row: each element not in the pivoting row is calculated by the corrosponding element in the pivoting column multiplied by the corrosponding calculated element in the pivoting row from </t>
        </r>
        <r>
          <rPr>
            <b/>
            <sz val="11"/>
            <color indexed="81"/>
            <rFont val="Tahoma"/>
            <family val="2"/>
          </rPr>
          <t>Step 3a</t>
        </r>
        <r>
          <rPr>
            <sz val="11"/>
            <color indexed="81"/>
            <rFont val="Tahoma"/>
            <family val="2"/>
          </rPr>
          <t xml:space="preserve">, and then subtracted by the corrosponding element of the pivoting row and column. Repeat </t>
        </r>
        <r>
          <rPr>
            <b/>
            <sz val="11"/>
            <color indexed="81"/>
            <rFont val="Tahoma"/>
            <family val="2"/>
          </rPr>
          <t>Step 1</t>
        </r>
        <r>
          <rPr>
            <sz val="11"/>
            <color indexed="81"/>
            <rFont val="Tahoma"/>
            <family val="2"/>
          </rPr>
          <t xml:space="preserve">.
</t>
        </r>
        <r>
          <rPr>
            <b/>
            <sz val="11"/>
            <color indexed="81"/>
            <rFont val="Tahoma"/>
            <family val="2"/>
          </rPr>
          <t>Step 4</t>
        </r>
        <r>
          <rPr>
            <sz val="11"/>
            <color indexed="81"/>
            <rFont val="Tahoma"/>
            <family val="2"/>
          </rPr>
          <t>: Basic variables are identified in order of coefficient with the value of 1 in respective column, from top to bottom. Non-Basic variables are identified in order of left to right.</t>
        </r>
      </text>
    </comment>
  </commentList>
</comments>
</file>

<file path=xl/comments4.xml><?xml version="1.0" encoding="utf-8"?>
<comments xmlns="http://schemas.openxmlformats.org/spreadsheetml/2006/main">
  <authors>
    <author>Author</author>
  </authors>
  <commentList>
    <comment ref="B3" authorId="0" shapeId="0">
      <text>
        <r>
          <rPr>
            <b/>
            <sz val="11"/>
            <color indexed="81"/>
            <rFont val="Tahoma"/>
            <family val="2"/>
          </rPr>
          <t>A. J. Welgemoed:</t>
        </r>
        <r>
          <rPr>
            <sz val="11"/>
            <color indexed="81"/>
            <rFont val="Tahoma"/>
            <family val="2"/>
          </rPr>
          <t xml:space="preserve">
</t>
        </r>
        <r>
          <rPr>
            <b/>
            <sz val="11"/>
            <color indexed="81"/>
            <rFont val="Tahoma"/>
            <family val="2"/>
          </rPr>
          <t>Canonical Form: Primal Simplex Algorithm.</t>
        </r>
        <r>
          <rPr>
            <sz val="11"/>
            <color indexed="81"/>
            <rFont val="Tahoma"/>
            <family val="2"/>
          </rPr>
          <t xml:space="preserve">
</t>
        </r>
        <r>
          <rPr>
            <b/>
            <sz val="11"/>
            <color indexed="81"/>
            <rFont val="Tahoma"/>
            <family val="2"/>
          </rPr>
          <t>Step 1</t>
        </r>
        <r>
          <rPr>
            <sz val="11"/>
            <color indexed="81"/>
            <rFont val="Tahoma"/>
            <family val="2"/>
          </rPr>
          <t xml:space="preserve">: All variables with negative sign restrictions are multiplied with negative 1 throughout the model in order to change the variable to positive sign restriction.
</t>
        </r>
        <r>
          <rPr>
            <b/>
            <sz val="11"/>
            <color indexed="81"/>
            <rFont val="Tahoma"/>
            <family val="2"/>
          </rPr>
          <t>Step 2</t>
        </r>
        <r>
          <rPr>
            <sz val="11"/>
            <color indexed="81"/>
            <rFont val="Tahoma"/>
            <family val="2"/>
          </rPr>
          <t xml:space="preserve">: All variables with both positive and negative sign restrictions are split into a negative and positive variable throughout the model in order to change the variable to two positive sign restrictions.
</t>
        </r>
        <r>
          <rPr>
            <b/>
            <sz val="11"/>
            <color indexed="81"/>
            <rFont val="Tahoma"/>
            <family val="2"/>
          </rPr>
          <t>Step 3</t>
        </r>
        <r>
          <rPr>
            <sz val="11"/>
            <color indexed="81"/>
            <rFont val="Tahoma"/>
            <family val="2"/>
          </rPr>
          <t xml:space="preserve">: (z) Objective function moved to the LHS, multiplied with negative 1 and set equal to 0.
</t>
        </r>
        <r>
          <rPr>
            <b/>
            <sz val="11"/>
            <color indexed="81"/>
            <rFont val="Tahoma"/>
            <family val="2"/>
          </rPr>
          <t>Step 4</t>
        </r>
        <r>
          <rPr>
            <sz val="11"/>
            <color indexed="81"/>
            <rFont val="Tahoma"/>
            <family val="2"/>
          </rPr>
          <t>: Constraints with "less than" constraint signs: Slack variable added to compensate for the difference in inequality in the equation when removing the  "less than" constraint sign.</t>
        </r>
      </text>
    </comment>
    <comment ref="B12" authorId="0" shapeId="0">
      <text>
        <r>
          <rPr>
            <b/>
            <sz val="11"/>
            <color indexed="81"/>
            <rFont val="Tahoma"/>
            <family val="2"/>
          </rPr>
          <t>A. J. Welgemoed:</t>
        </r>
        <r>
          <rPr>
            <sz val="11"/>
            <color indexed="81"/>
            <rFont val="Tahoma"/>
            <family val="2"/>
          </rPr>
          <t xml:space="preserve">
</t>
        </r>
        <r>
          <rPr>
            <b/>
            <sz val="11"/>
            <color indexed="81"/>
            <rFont val="Tahoma"/>
            <family val="2"/>
          </rPr>
          <t>Revised 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Determine the current Basic Variables.
</t>
        </r>
        <r>
          <rPr>
            <b/>
            <sz val="11"/>
            <color indexed="81"/>
            <rFont val="Tahoma"/>
            <family val="2"/>
          </rPr>
          <t>Step 2</t>
        </r>
        <r>
          <rPr>
            <sz val="11"/>
            <color indexed="81"/>
            <rFont val="Tahoma"/>
            <family val="2"/>
          </rPr>
          <t xml:space="preserve">: Determine the current Basic Variable Coefficients.
</t>
        </r>
        <r>
          <rPr>
            <b/>
            <sz val="11"/>
            <color indexed="81"/>
            <rFont val="Tahoma"/>
            <family val="2"/>
          </rPr>
          <t>Step 3a</t>
        </r>
        <r>
          <rPr>
            <sz val="11"/>
            <color indexed="81"/>
            <rFont val="Tahoma"/>
            <family val="2"/>
          </rPr>
          <t xml:space="preserve">: 1st Product Form: If currently not 1st Product Form, then procede to </t>
        </r>
        <r>
          <rPr>
            <b/>
            <sz val="11"/>
            <color indexed="81"/>
            <rFont val="Tahoma"/>
            <family val="2"/>
          </rPr>
          <t>Step 3b</t>
        </r>
        <r>
          <rPr>
            <sz val="11"/>
            <color indexed="81"/>
            <rFont val="Tahoma"/>
            <family val="2"/>
          </rPr>
          <t xml:space="preserve">. Else, determine the Basic Variable Matrix. The Basic Variable Matrix equals the Identity Matrix, the Elementry Matrix and the Basic Variable Matrix Inverse. Procede to </t>
        </r>
        <r>
          <rPr>
            <b/>
            <sz val="11"/>
            <color indexed="81"/>
            <rFont val="Tahoma"/>
            <family val="2"/>
          </rPr>
          <t>Step 4</t>
        </r>
        <r>
          <rPr>
            <sz val="11"/>
            <color indexed="81"/>
            <rFont val="Tahoma"/>
            <family val="2"/>
          </rPr>
          <t xml:space="preserve">.
</t>
        </r>
        <r>
          <rPr>
            <b/>
            <sz val="11"/>
            <color indexed="81"/>
            <rFont val="Tahoma"/>
            <family val="2"/>
          </rPr>
          <t>Step 3b</t>
        </r>
        <r>
          <rPr>
            <sz val="11"/>
            <color indexed="81"/>
            <rFont val="Tahoma"/>
            <family val="2"/>
          </rPr>
          <t xml:space="preserve">: Not 1st Product Form: Determine the Identity Matrix. 
</t>
        </r>
        <r>
          <rPr>
            <b/>
            <sz val="11"/>
            <color indexed="81"/>
            <rFont val="Tahoma"/>
            <family val="2"/>
          </rPr>
          <t>Step 3c</t>
        </r>
        <r>
          <rPr>
            <sz val="11"/>
            <color indexed="81"/>
            <rFont val="Tahoma"/>
            <family val="2"/>
          </rPr>
          <t xml:space="preserve">: Identify the Entering Basic Variable' Non-Basic Variable Column. The Pivoting Element is the element in the Entering Basic Variable' Non-Basic Variable Column corrosponding to the Exiting Basic Variable position. The Pivoting Element in the Entering Elementry Matrix Column is calculated by dividing 1 by the Pivoting Element. The elements not being the Pivoting Element in the Entering Elementry Matrix Column is calculated by dividing the corrosponding element in the Entering Basic Variable' Non-Basic Variable Column by the Pivoting Element and then multiplying it with negative 1.
</t>
        </r>
        <r>
          <rPr>
            <b/>
            <sz val="11"/>
            <color indexed="81"/>
            <rFont val="Tahoma"/>
            <family val="2"/>
          </rPr>
          <t>Step 3d</t>
        </r>
        <r>
          <rPr>
            <sz val="11"/>
            <color indexed="81"/>
            <rFont val="Tahoma"/>
            <family val="2"/>
          </rPr>
          <t xml:space="preserve">: Insert the Entering Elementry Matrix Column into the Identy Matrix, using the Exiting Basic Variable position, to create the Elementry Matrix.
</t>
        </r>
        <r>
          <rPr>
            <b/>
            <sz val="11"/>
            <color indexed="81"/>
            <rFont val="Tahoma"/>
            <family val="2"/>
          </rPr>
          <t>Step 3e</t>
        </r>
        <r>
          <rPr>
            <sz val="11"/>
            <color indexed="81"/>
            <rFont val="Tahoma"/>
            <family val="2"/>
          </rPr>
          <t xml:space="preserve">: Calculate the Basic Variable Matrix Inverse Product by multiplying the Elementry Matrix with the previosly calculated Basic Variable Matrix Inverse Product.
</t>
        </r>
        <r>
          <rPr>
            <b/>
            <sz val="11"/>
            <color indexed="81"/>
            <rFont val="Tahoma"/>
            <family val="2"/>
          </rPr>
          <t>Step 4</t>
        </r>
        <r>
          <rPr>
            <sz val="11"/>
            <color indexed="81"/>
            <rFont val="Tahoma"/>
            <family val="2"/>
          </rPr>
          <t xml:space="preserve">: Calculate the Basic Variable Coefficients Basic Variable Matrix Inverse Product by multiplying the determined Basic Variable Coefficients and the calculated Basic Variable Matrix Inverse </t>
        </r>
        <r>
          <rPr>
            <i/>
            <sz val="11"/>
            <color indexed="81"/>
            <rFont val="Tahoma"/>
            <family val="2"/>
          </rPr>
          <t>(CbvB-1 = Cbv x B-1)</t>
        </r>
        <r>
          <rPr>
            <sz val="11"/>
            <color indexed="81"/>
            <rFont val="Tahoma"/>
            <family val="2"/>
          </rPr>
          <t xml:space="preserve">.
</t>
        </r>
        <r>
          <rPr>
            <b/>
            <sz val="11"/>
            <color indexed="81"/>
            <rFont val="Tahoma"/>
            <family val="2"/>
          </rPr>
          <t>Step 5a</t>
        </r>
        <r>
          <rPr>
            <sz val="11"/>
            <color indexed="81"/>
            <rFont val="Tahoma"/>
            <family val="2"/>
          </rPr>
          <t xml:space="preserve">: Determine the Non-Basic Variables.
</t>
        </r>
        <r>
          <rPr>
            <b/>
            <sz val="11"/>
            <color indexed="81"/>
            <rFont val="Tahoma"/>
            <family val="2"/>
          </rPr>
          <t>Step 5b</t>
        </r>
        <r>
          <rPr>
            <sz val="11"/>
            <color indexed="81"/>
            <rFont val="Tahoma"/>
            <family val="2"/>
          </rPr>
          <t xml:space="preserve">: Calculate the Price Out Values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5c</t>
        </r>
        <r>
          <rPr>
            <sz val="11"/>
            <color indexed="81"/>
            <rFont val="Tahoma"/>
            <family val="2"/>
          </rPr>
          <t xml:space="preserve">: The largest negative Price Out Value selected as Entering Basic Variable. If multiple largest negative Price Out Values exists, the Price Out Value on the left is selected as Entering Basic Variable. If no largest negative Price Out Value exists, then tabluea is optimal, procede to </t>
        </r>
        <r>
          <rPr>
            <b/>
            <sz val="11"/>
            <color indexed="81"/>
            <rFont val="Tahoma"/>
            <family val="2"/>
          </rPr>
          <t>Step 7a</t>
        </r>
        <r>
          <rPr>
            <sz val="11"/>
            <color indexed="81"/>
            <rFont val="Tahoma"/>
            <family val="2"/>
          </rPr>
          <t xml:space="preserve">.
</t>
        </r>
        <r>
          <rPr>
            <b/>
            <sz val="11"/>
            <color indexed="81"/>
            <rFont val="Tahoma"/>
            <family val="2"/>
          </rPr>
          <t>Step 5d</t>
        </r>
        <r>
          <rPr>
            <sz val="11"/>
            <color indexed="81"/>
            <rFont val="Tahoma"/>
            <family val="2"/>
          </rPr>
          <t xml:space="preserve">: Calculate the selected Entering Basic Variable'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5e</t>
        </r>
        <r>
          <rPr>
            <sz val="11"/>
            <color indexed="81"/>
            <rFont val="Tahoma"/>
            <family val="2"/>
          </rPr>
          <t xml:space="preserve">: Calculate the selected Constraint RHS Column by multiplying the calculated Basic Variable Matrix Inverse with the Constraint RHS Column </t>
        </r>
        <r>
          <rPr>
            <i/>
            <sz val="11"/>
            <color indexed="81"/>
            <rFont val="Tahoma"/>
            <family val="2"/>
          </rPr>
          <t>(b* = B-1 x b)</t>
        </r>
        <r>
          <rPr>
            <sz val="11"/>
            <color indexed="81"/>
            <rFont val="Tahoma"/>
            <family val="2"/>
          </rPr>
          <t xml:space="preserve">.
</t>
        </r>
        <r>
          <rPr>
            <b/>
            <sz val="11"/>
            <color indexed="81"/>
            <rFont val="Tahoma"/>
            <family val="2"/>
          </rPr>
          <t>Step 5f</t>
        </r>
        <r>
          <rPr>
            <sz val="11"/>
            <color indexed="81"/>
            <rFont val="Tahoma"/>
            <family val="2"/>
          </rPr>
          <t xml:space="preserve">: A ratio is calculated based on the calculated Constraint RHS Column, divided by the corresponding calculated Non-Basic Variable Column. The ratio with the smallest positive value is selected as the Exiting Basic Variable. If multiple smallest positive ratios exists, the ratio on top is selected as the Exiting Basic Variable. If the RHS value of the constraint is 0 and the corresponding Non-Basic Variable Column coefficient is positive, the resulting 0 ratio is a valid ratio and should be selected as the Exiting Basic Variable. If the RHS value of the constraint is 0 and the corresponding Non-Basic Variable Column coefficient is negative, the resulting 0 ratio is a degenerate ratio and should not be selected as the Exiting Basic Variable. If no positive ratio exists, the Linear Programming Model is considered a Case 4 Model and is unbounded, then stop algorithm.
</t>
        </r>
        <r>
          <rPr>
            <b/>
            <sz val="11"/>
            <color indexed="81"/>
            <rFont val="Tahoma"/>
            <family val="2"/>
          </rPr>
          <t>Step 6</t>
        </r>
        <r>
          <rPr>
            <sz val="11"/>
            <color indexed="81"/>
            <rFont val="Tahoma"/>
            <family val="2"/>
          </rPr>
          <t xml:space="preserve">: The Entering Basic Variable will replace the Exiting Basic Variable as a basic variable in the corrosponding postion. Procede to </t>
        </r>
        <r>
          <rPr>
            <b/>
            <sz val="11"/>
            <color indexed="81"/>
            <rFont val="Tahoma"/>
            <family val="2"/>
          </rPr>
          <t>Step 1</t>
        </r>
        <r>
          <rPr>
            <sz val="11"/>
            <color indexed="81"/>
            <rFont val="Tahoma"/>
            <family val="2"/>
          </rPr>
          <t xml:space="preserve">.
</t>
        </r>
        <r>
          <rPr>
            <b/>
            <sz val="11"/>
            <color indexed="81"/>
            <rFont val="Tahoma"/>
            <family val="2"/>
          </rPr>
          <t>Step 7a</t>
        </r>
        <r>
          <rPr>
            <sz val="11"/>
            <color indexed="81"/>
            <rFont val="Tahoma"/>
            <family val="2"/>
          </rPr>
          <t xml:space="preserve">: Calculate each optimal (z) objective function  coefficient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7b</t>
        </r>
        <r>
          <rPr>
            <sz val="11"/>
            <color indexed="81"/>
            <rFont val="Tahoma"/>
            <family val="2"/>
          </rPr>
          <t xml:space="preserve">: Calculate each optimal Basic and and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7c</t>
        </r>
        <r>
          <rPr>
            <sz val="11"/>
            <color indexed="81"/>
            <rFont val="Tahoma"/>
            <family val="2"/>
          </rPr>
          <t xml:space="preserve">: Calculate the optimal Slack Variable coefficient by mapping the Slack Variable to the corrosponding element in the Basic Variable Coefficients Basic Variable Matrix Inverse Product </t>
        </r>
        <r>
          <rPr>
            <i/>
            <sz val="11"/>
            <color indexed="81"/>
            <rFont val="Tahoma"/>
            <family val="2"/>
          </rPr>
          <t>(Si* = ith element in CbvB-1)</t>
        </r>
        <r>
          <rPr>
            <sz val="11"/>
            <color indexed="81"/>
            <rFont val="Tahoma"/>
            <family val="2"/>
          </rPr>
          <t xml:space="preserve">.
</t>
        </r>
        <r>
          <rPr>
            <b/>
            <sz val="11"/>
            <color indexed="81"/>
            <rFont val="Tahoma"/>
            <family val="2"/>
          </rPr>
          <t>Step 7d</t>
        </r>
        <r>
          <rPr>
            <sz val="11"/>
            <color indexed="81"/>
            <rFont val="Tahoma"/>
            <family val="2"/>
          </rPr>
          <t xml:space="preserve">: Calculate the optimal (z) objective function RHS by multiplying the Basic Variable Coefficients Basic Variable Matrix Inverse Product with the Constraint RHS Column </t>
        </r>
        <r>
          <rPr>
            <i/>
            <sz val="11"/>
            <color indexed="81"/>
            <rFont val="Tahoma"/>
            <family val="2"/>
          </rPr>
          <t>(z* = CbvB-1 x b)</t>
        </r>
        <r>
          <rPr>
            <sz val="11"/>
            <color indexed="81"/>
            <rFont val="Tahoma"/>
            <family val="2"/>
          </rPr>
          <t xml:space="preserve">.
</t>
        </r>
        <r>
          <rPr>
            <b/>
            <sz val="11"/>
            <color indexed="81"/>
            <rFont val="Tahoma"/>
            <family val="2"/>
          </rPr>
          <t>Step 7e</t>
        </r>
        <r>
          <rPr>
            <sz val="11"/>
            <color indexed="81"/>
            <rFont val="Tahoma"/>
            <family val="2"/>
          </rPr>
          <t xml:space="preserve">: Calculate the optimal Constraint RHS Column by multiplying the Basic Variable Matrix Inverse Product with the Constraint RHS Column </t>
        </r>
        <r>
          <rPr>
            <i/>
            <sz val="11"/>
            <color indexed="81"/>
            <rFont val="Tahoma"/>
            <family val="2"/>
          </rPr>
          <t>(b* = B-1 x b)</t>
        </r>
        <r>
          <rPr>
            <sz val="11"/>
            <color indexed="81"/>
            <rFont val="Tahoma"/>
            <family val="2"/>
          </rPr>
          <t xml:space="preserve">.
</t>
        </r>
        <r>
          <rPr>
            <b/>
            <sz val="11"/>
            <color indexed="81"/>
            <rFont val="Tahoma"/>
            <family val="2"/>
          </rPr>
          <t>Step 7f</t>
        </r>
        <r>
          <rPr>
            <sz val="11"/>
            <color indexed="81"/>
            <rFont val="Tahoma"/>
            <family val="2"/>
          </rPr>
          <t xml:space="preserve">: Populate the optimal tabluea with all calculated values. 
</t>
        </r>
        <r>
          <rPr>
            <b/>
            <sz val="11"/>
            <color indexed="81"/>
            <rFont val="Tahoma"/>
            <family val="2"/>
          </rPr>
          <t>Step 8</t>
        </r>
        <r>
          <rPr>
            <sz val="11"/>
            <color indexed="81"/>
            <rFont val="Tahoma"/>
            <family val="2"/>
          </rPr>
          <t>: Basic variables are identified in order of coefficient with the value of 1 in respective column, from top to bottom. Non-Basic variables are identified in order of left to right.</t>
        </r>
      </text>
    </comment>
    <comment ref="B29" authorId="0" shapeId="0">
      <text>
        <r>
          <rPr>
            <b/>
            <sz val="11"/>
            <color indexed="81"/>
            <rFont val="Tahoma"/>
            <family val="2"/>
          </rPr>
          <t>A. J. Welgemoed:</t>
        </r>
        <r>
          <rPr>
            <sz val="11"/>
            <color indexed="81"/>
            <rFont val="Tahoma"/>
            <family val="2"/>
          </rPr>
          <t xml:space="preserve">
</t>
        </r>
        <r>
          <rPr>
            <b/>
            <sz val="11"/>
            <color indexed="81"/>
            <rFont val="Tahoma"/>
            <family val="2"/>
          </rPr>
          <t>Revised 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Determine the current Basic Variables.
</t>
        </r>
        <r>
          <rPr>
            <b/>
            <sz val="11"/>
            <color indexed="81"/>
            <rFont val="Tahoma"/>
            <family val="2"/>
          </rPr>
          <t>Step 2</t>
        </r>
        <r>
          <rPr>
            <sz val="11"/>
            <color indexed="81"/>
            <rFont val="Tahoma"/>
            <family val="2"/>
          </rPr>
          <t xml:space="preserve">: Determine the current Basic Variable Coefficients.
</t>
        </r>
        <r>
          <rPr>
            <b/>
            <sz val="11"/>
            <color indexed="81"/>
            <rFont val="Tahoma"/>
            <family val="2"/>
          </rPr>
          <t>Step 3a</t>
        </r>
        <r>
          <rPr>
            <sz val="11"/>
            <color indexed="81"/>
            <rFont val="Tahoma"/>
            <family val="2"/>
          </rPr>
          <t xml:space="preserve">: 1st Product Form: If currently not 1st Product Form, then procede to </t>
        </r>
        <r>
          <rPr>
            <b/>
            <sz val="11"/>
            <color indexed="81"/>
            <rFont val="Tahoma"/>
            <family val="2"/>
          </rPr>
          <t>Step 3b</t>
        </r>
        <r>
          <rPr>
            <sz val="11"/>
            <color indexed="81"/>
            <rFont val="Tahoma"/>
            <family val="2"/>
          </rPr>
          <t xml:space="preserve">. Else, determine the Basic Variable Matrix. The Basic Variable Matrix equals the Identity Matrix, the Elementry Matrix and the Basic Variable Matrix Inverse. Procede to </t>
        </r>
        <r>
          <rPr>
            <b/>
            <sz val="11"/>
            <color indexed="81"/>
            <rFont val="Tahoma"/>
            <family val="2"/>
          </rPr>
          <t>Step 4</t>
        </r>
        <r>
          <rPr>
            <sz val="11"/>
            <color indexed="81"/>
            <rFont val="Tahoma"/>
            <family val="2"/>
          </rPr>
          <t xml:space="preserve">.
</t>
        </r>
        <r>
          <rPr>
            <b/>
            <sz val="11"/>
            <color indexed="81"/>
            <rFont val="Tahoma"/>
            <family val="2"/>
          </rPr>
          <t>Step 3b</t>
        </r>
        <r>
          <rPr>
            <sz val="11"/>
            <color indexed="81"/>
            <rFont val="Tahoma"/>
            <family val="2"/>
          </rPr>
          <t xml:space="preserve">: Not 1st Product Form: Determine the Identity Matrix. 
</t>
        </r>
        <r>
          <rPr>
            <b/>
            <sz val="11"/>
            <color indexed="81"/>
            <rFont val="Tahoma"/>
            <family val="2"/>
          </rPr>
          <t>Step 3c</t>
        </r>
        <r>
          <rPr>
            <sz val="11"/>
            <color indexed="81"/>
            <rFont val="Tahoma"/>
            <family val="2"/>
          </rPr>
          <t xml:space="preserve">: Identify the Entering Basic Variable' Non-Basic Variable Column. The Pivoting Element is the element in the Entering Basic Variable' Non-Basic Variable Column corrosponding to the Exiting Basic Variable position. The Pivoting Element in the Entering Elementry Matrix Column is calculated by dividing 1 by the Pivoting Element. The elements not being the Pivoting Element in the Entering Elementry Matrix Column is calculated by dividing the corrosponding element in the Entering Basic Variable' Non-Basic Variable Column by the Pivoting Element and then multiplying it with negative 1.
</t>
        </r>
        <r>
          <rPr>
            <b/>
            <sz val="11"/>
            <color indexed="81"/>
            <rFont val="Tahoma"/>
            <family val="2"/>
          </rPr>
          <t>Step 3d</t>
        </r>
        <r>
          <rPr>
            <sz val="11"/>
            <color indexed="81"/>
            <rFont val="Tahoma"/>
            <family val="2"/>
          </rPr>
          <t xml:space="preserve">: Insert the Entering Elementry Matrix Column into the Identy Matrix, using the Exiting Basic Variable position, to create the Elementry Matrix.
</t>
        </r>
        <r>
          <rPr>
            <b/>
            <sz val="11"/>
            <color indexed="81"/>
            <rFont val="Tahoma"/>
            <family val="2"/>
          </rPr>
          <t>Step 3e</t>
        </r>
        <r>
          <rPr>
            <sz val="11"/>
            <color indexed="81"/>
            <rFont val="Tahoma"/>
            <family val="2"/>
          </rPr>
          <t xml:space="preserve">: Calculate the Basic Variable Matrix Inverse Product by multiplying the Elementry Matrix with the previosly calculated Basic Variable Matrix Inverse Product.
</t>
        </r>
        <r>
          <rPr>
            <b/>
            <sz val="11"/>
            <color indexed="81"/>
            <rFont val="Tahoma"/>
            <family val="2"/>
          </rPr>
          <t>Step 4</t>
        </r>
        <r>
          <rPr>
            <sz val="11"/>
            <color indexed="81"/>
            <rFont val="Tahoma"/>
            <family val="2"/>
          </rPr>
          <t xml:space="preserve">: Calculate the Basic Variable Coefficients Basic Variable Matrix Inverse Product by multiplying the determined Basic Variable Coefficients and the calculated Basic Variable Matrix Inverse </t>
        </r>
        <r>
          <rPr>
            <i/>
            <sz val="11"/>
            <color indexed="81"/>
            <rFont val="Tahoma"/>
            <family val="2"/>
          </rPr>
          <t>(CbvB-1 = Cbv x B-1)</t>
        </r>
        <r>
          <rPr>
            <sz val="11"/>
            <color indexed="81"/>
            <rFont val="Tahoma"/>
            <family val="2"/>
          </rPr>
          <t xml:space="preserve">.
</t>
        </r>
        <r>
          <rPr>
            <b/>
            <sz val="11"/>
            <color indexed="81"/>
            <rFont val="Tahoma"/>
            <family val="2"/>
          </rPr>
          <t>Step 5a</t>
        </r>
        <r>
          <rPr>
            <sz val="11"/>
            <color indexed="81"/>
            <rFont val="Tahoma"/>
            <family val="2"/>
          </rPr>
          <t xml:space="preserve">: Determine the Non-Basic Variables.
</t>
        </r>
        <r>
          <rPr>
            <b/>
            <sz val="11"/>
            <color indexed="81"/>
            <rFont val="Tahoma"/>
            <family val="2"/>
          </rPr>
          <t>Step 5b</t>
        </r>
        <r>
          <rPr>
            <sz val="11"/>
            <color indexed="81"/>
            <rFont val="Tahoma"/>
            <family val="2"/>
          </rPr>
          <t xml:space="preserve">: Calculate the Price Out Values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5c</t>
        </r>
        <r>
          <rPr>
            <sz val="11"/>
            <color indexed="81"/>
            <rFont val="Tahoma"/>
            <family val="2"/>
          </rPr>
          <t xml:space="preserve">: The largest negative Price Out Value selected as Entering Basic Variable. If multiple largest negative Price Out Values exists, the Price Out Value on the left is selected as Entering Basic Variable. If no largest negative Price Out Value exists, then tabluea is optimal, procede to </t>
        </r>
        <r>
          <rPr>
            <b/>
            <sz val="11"/>
            <color indexed="81"/>
            <rFont val="Tahoma"/>
            <family val="2"/>
          </rPr>
          <t>Step 7a</t>
        </r>
        <r>
          <rPr>
            <sz val="11"/>
            <color indexed="81"/>
            <rFont val="Tahoma"/>
            <family val="2"/>
          </rPr>
          <t xml:space="preserve">.
</t>
        </r>
        <r>
          <rPr>
            <b/>
            <sz val="11"/>
            <color indexed="81"/>
            <rFont val="Tahoma"/>
            <family val="2"/>
          </rPr>
          <t>Step 5d</t>
        </r>
        <r>
          <rPr>
            <sz val="11"/>
            <color indexed="81"/>
            <rFont val="Tahoma"/>
            <family val="2"/>
          </rPr>
          <t xml:space="preserve">: Calculate the selected Entering Basic Variable'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5e</t>
        </r>
        <r>
          <rPr>
            <sz val="11"/>
            <color indexed="81"/>
            <rFont val="Tahoma"/>
            <family val="2"/>
          </rPr>
          <t xml:space="preserve">: Calculate the selected Constraint RHS Column by multiplying the calculated Basic Variable Matrix Inverse with the Constraint RHS Column </t>
        </r>
        <r>
          <rPr>
            <i/>
            <sz val="11"/>
            <color indexed="81"/>
            <rFont val="Tahoma"/>
            <family val="2"/>
          </rPr>
          <t>(b* = B-1 x b)</t>
        </r>
        <r>
          <rPr>
            <sz val="11"/>
            <color indexed="81"/>
            <rFont val="Tahoma"/>
            <family val="2"/>
          </rPr>
          <t xml:space="preserve">.
</t>
        </r>
        <r>
          <rPr>
            <b/>
            <sz val="11"/>
            <color indexed="81"/>
            <rFont val="Tahoma"/>
            <family val="2"/>
          </rPr>
          <t>Step 5f</t>
        </r>
        <r>
          <rPr>
            <sz val="11"/>
            <color indexed="81"/>
            <rFont val="Tahoma"/>
            <family val="2"/>
          </rPr>
          <t xml:space="preserve">: A ratio is calculated based on the calculated Constraint RHS Column, divided by the corresponding calculated Non-Basic Variable Column. The ratio with the smallest positive value is selected as the Exiting Basic Variable. If multiple smallest positive ratios exists, the ratio on top is selected as the Exiting Basic Variable. If the RHS value of the constraint is 0 and the corresponding Non-Basic Variable Column coefficient is positive, the resulting 0 ratio is a valid ratio and should be selected as the Exiting Basic Variable. If the RHS value of the constraint is 0 and the corresponding Non-Basic Variable Column coefficient is negative, the resulting 0 ratio is a degenerate ratio and should not be selected as the Exiting Basic Variable. If no positive ratio exists, the Linear Programming Model is considered a Case 4 Model and is unbounded, then stop algorithm.
</t>
        </r>
        <r>
          <rPr>
            <b/>
            <sz val="11"/>
            <color indexed="81"/>
            <rFont val="Tahoma"/>
            <family val="2"/>
          </rPr>
          <t>Step 6</t>
        </r>
        <r>
          <rPr>
            <sz val="11"/>
            <color indexed="81"/>
            <rFont val="Tahoma"/>
            <family val="2"/>
          </rPr>
          <t xml:space="preserve">: The Entering Basic Variable will replace the Exiting Basic Variable as a basic variable in the corrosponding postion. Procede to </t>
        </r>
        <r>
          <rPr>
            <b/>
            <sz val="11"/>
            <color indexed="81"/>
            <rFont val="Tahoma"/>
            <family val="2"/>
          </rPr>
          <t>Step 1</t>
        </r>
        <r>
          <rPr>
            <sz val="11"/>
            <color indexed="81"/>
            <rFont val="Tahoma"/>
            <family val="2"/>
          </rPr>
          <t xml:space="preserve">.
</t>
        </r>
        <r>
          <rPr>
            <b/>
            <sz val="11"/>
            <color indexed="81"/>
            <rFont val="Tahoma"/>
            <family val="2"/>
          </rPr>
          <t>Step 7a</t>
        </r>
        <r>
          <rPr>
            <sz val="11"/>
            <color indexed="81"/>
            <rFont val="Tahoma"/>
            <family val="2"/>
          </rPr>
          <t xml:space="preserve">: Calculate each optimal (z) objective function  coefficient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7b</t>
        </r>
        <r>
          <rPr>
            <sz val="11"/>
            <color indexed="81"/>
            <rFont val="Tahoma"/>
            <family val="2"/>
          </rPr>
          <t xml:space="preserve">: Calculate each optimal Basic and and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7c</t>
        </r>
        <r>
          <rPr>
            <sz val="11"/>
            <color indexed="81"/>
            <rFont val="Tahoma"/>
            <family val="2"/>
          </rPr>
          <t xml:space="preserve">: Calculate the optimal Slack Variable coefficient by mapping the Slack Variable to the corrosponding element in the Basic Variable Coefficients Basic Variable Matrix Inverse Product </t>
        </r>
        <r>
          <rPr>
            <i/>
            <sz val="11"/>
            <color indexed="81"/>
            <rFont val="Tahoma"/>
            <family val="2"/>
          </rPr>
          <t>(Si* = ith element in CbvB-1)</t>
        </r>
        <r>
          <rPr>
            <sz val="11"/>
            <color indexed="81"/>
            <rFont val="Tahoma"/>
            <family val="2"/>
          </rPr>
          <t xml:space="preserve">.
</t>
        </r>
        <r>
          <rPr>
            <b/>
            <sz val="11"/>
            <color indexed="81"/>
            <rFont val="Tahoma"/>
            <family val="2"/>
          </rPr>
          <t>Step 7d</t>
        </r>
        <r>
          <rPr>
            <sz val="11"/>
            <color indexed="81"/>
            <rFont val="Tahoma"/>
            <family val="2"/>
          </rPr>
          <t xml:space="preserve">: Calculate the optimal (z) objective function RHS by multiplying the Basic Variable Coefficients Basic Variable Matrix Inverse Product with the Constraint RHS Column </t>
        </r>
        <r>
          <rPr>
            <i/>
            <sz val="11"/>
            <color indexed="81"/>
            <rFont val="Tahoma"/>
            <family val="2"/>
          </rPr>
          <t>(z* = CbvB-1 x b)</t>
        </r>
        <r>
          <rPr>
            <sz val="11"/>
            <color indexed="81"/>
            <rFont val="Tahoma"/>
            <family val="2"/>
          </rPr>
          <t xml:space="preserve">.
</t>
        </r>
        <r>
          <rPr>
            <b/>
            <sz val="11"/>
            <color indexed="81"/>
            <rFont val="Tahoma"/>
            <family val="2"/>
          </rPr>
          <t>Step 7e</t>
        </r>
        <r>
          <rPr>
            <sz val="11"/>
            <color indexed="81"/>
            <rFont val="Tahoma"/>
            <family val="2"/>
          </rPr>
          <t xml:space="preserve">: Calculate the optimal Constraint RHS Column by multiplying the Basic Variable Matrix Inverse Product with the Constraint RHS Column </t>
        </r>
        <r>
          <rPr>
            <i/>
            <sz val="11"/>
            <color indexed="81"/>
            <rFont val="Tahoma"/>
            <family val="2"/>
          </rPr>
          <t>(b* = B-1 x b)</t>
        </r>
        <r>
          <rPr>
            <sz val="11"/>
            <color indexed="81"/>
            <rFont val="Tahoma"/>
            <family val="2"/>
          </rPr>
          <t xml:space="preserve">.
</t>
        </r>
        <r>
          <rPr>
            <b/>
            <sz val="11"/>
            <color indexed="81"/>
            <rFont val="Tahoma"/>
            <family val="2"/>
          </rPr>
          <t>Step 7f</t>
        </r>
        <r>
          <rPr>
            <sz val="11"/>
            <color indexed="81"/>
            <rFont val="Tahoma"/>
            <family val="2"/>
          </rPr>
          <t xml:space="preserve">: Populate the optimal tabluea with all calculated values. 
</t>
        </r>
        <r>
          <rPr>
            <b/>
            <sz val="11"/>
            <color indexed="81"/>
            <rFont val="Tahoma"/>
            <family val="2"/>
          </rPr>
          <t>Step 8</t>
        </r>
        <r>
          <rPr>
            <sz val="11"/>
            <color indexed="81"/>
            <rFont val="Tahoma"/>
            <family val="2"/>
          </rPr>
          <t>: Basic variables are identified in order of coefficient with the value of 1 in respective column, from top to bottom. Non-Basic variables are identified in order of left to right.</t>
        </r>
      </text>
    </comment>
    <comment ref="B46" authorId="0" shapeId="0">
      <text>
        <r>
          <rPr>
            <b/>
            <sz val="11"/>
            <color indexed="81"/>
            <rFont val="Tahoma"/>
            <family val="2"/>
          </rPr>
          <t>A. J. Welgemoed:</t>
        </r>
        <r>
          <rPr>
            <sz val="11"/>
            <color indexed="81"/>
            <rFont val="Tahoma"/>
            <family val="2"/>
          </rPr>
          <t xml:space="preserve">
</t>
        </r>
        <r>
          <rPr>
            <b/>
            <sz val="11"/>
            <color indexed="81"/>
            <rFont val="Tahoma"/>
            <family val="2"/>
          </rPr>
          <t>Revised 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Determine the current Basic Variables.
</t>
        </r>
        <r>
          <rPr>
            <b/>
            <sz val="11"/>
            <color indexed="81"/>
            <rFont val="Tahoma"/>
            <family val="2"/>
          </rPr>
          <t>Step 2</t>
        </r>
        <r>
          <rPr>
            <sz val="11"/>
            <color indexed="81"/>
            <rFont val="Tahoma"/>
            <family val="2"/>
          </rPr>
          <t xml:space="preserve">: Determine the current Basic Variable Coefficients.
</t>
        </r>
        <r>
          <rPr>
            <b/>
            <sz val="11"/>
            <color indexed="81"/>
            <rFont val="Tahoma"/>
            <family val="2"/>
          </rPr>
          <t>Step 3a</t>
        </r>
        <r>
          <rPr>
            <sz val="11"/>
            <color indexed="81"/>
            <rFont val="Tahoma"/>
            <family val="2"/>
          </rPr>
          <t xml:space="preserve">: 1st Product Form: If currently not 1st Product Form, then procede to </t>
        </r>
        <r>
          <rPr>
            <b/>
            <sz val="11"/>
            <color indexed="81"/>
            <rFont val="Tahoma"/>
            <family val="2"/>
          </rPr>
          <t>Step 3b</t>
        </r>
        <r>
          <rPr>
            <sz val="11"/>
            <color indexed="81"/>
            <rFont val="Tahoma"/>
            <family val="2"/>
          </rPr>
          <t xml:space="preserve">. Else, determine the Basic Variable Matrix. The Basic Variable Matrix equals the Identity Matrix, the Elementry Matrix and the Basic Variable Matrix Inverse. Procede to </t>
        </r>
        <r>
          <rPr>
            <b/>
            <sz val="11"/>
            <color indexed="81"/>
            <rFont val="Tahoma"/>
            <family val="2"/>
          </rPr>
          <t>Step 4</t>
        </r>
        <r>
          <rPr>
            <sz val="11"/>
            <color indexed="81"/>
            <rFont val="Tahoma"/>
            <family val="2"/>
          </rPr>
          <t xml:space="preserve">.
</t>
        </r>
        <r>
          <rPr>
            <b/>
            <sz val="11"/>
            <color indexed="81"/>
            <rFont val="Tahoma"/>
            <family val="2"/>
          </rPr>
          <t>Step 3b</t>
        </r>
        <r>
          <rPr>
            <sz val="11"/>
            <color indexed="81"/>
            <rFont val="Tahoma"/>
            <family val="2"/>
          </rPr>
          <t xml:space="preserve">: Not 1st Product Form: Determine the Identity Matrix. 
</t>
        </r>
        <r>
          <rPr>
            <b/>
            <sz val="11"/>
            <color indexed="81"/>
            <rFont val="Tahoma"/>
            <family val="2"/>
          </rPr>
          <t>Step 3c</t>
        </r>
        <r>
          <rPr>
            <sz val="11"/>
            <color indexed="81"/>
            <rFont val="Tahoma"/>
            <family val="2"/>
          </rPr>
          <t xml:space="preserve">: Identify the Entering Basic Variable' Non-Basic Variable Column. The Pivoting Element is the element in the Entering Basic Variable' Non-Basic Variable Column corrosponding to the Exiting Basic Variable position. The Pivoting Element in the Entering Elementry Matrix Column is calculated by dividing 1 by the Pivoting Element. The elements not being the Pivoting Element in the Entering Elementry Matrix Column is calculated by dividing the corrosponding element in the Entering Basic Variable' Non-Basic Variable Column by the Pivoting Element and then multiplying it with negative 1.
</t>
        </r>
        <r>
          <rPr>
            <b/>
            <sz val="11"/>
            <color indexed="81"/>
            <rFont val="Tahoma"/>
            <family val="2"/>
          </rPr>
          <t>Step 3d</t>
        </r>
        <r>
          <rPr>
            <sz val="11"/>
            <color indexed="81"/>
            <rFont val="Tahoma"/>
            <family val="2"/>
          </rPr>
          <t xml:space="preserve">: Insert the Entering Elementry Matrix Column into the Identy Matrix, using the Exiting Basic Variable position, to create the Elementry Matrix.
</t>
        </r>
        <r>
          <rPr>
            <b/>
            <sz val="11"/>
            <color indexed="81"/>
            <rFont val="Tahoma"/>
            <family val="2"/>
          </rPr>
          <t>Step 3e</t>
        </r>
        <r>
          <rPr>
            <sz val="11"/>
            <color indexed="81"/>
            <rFont val="Tahoma"/>
            <family val="2"/>
          </rPr>
          <t xml:space="preserve">: Calculate the Basic Variable Matrix Inverse Product by multiplying the Elementry Matrix with the previosly calculated Basic Variable Matrix Inverse Product.
</t>
        </r>
        <r>
          <rPr>
            <b/>
            <sz val="11"/>
            <color indexed="81"/>
            <rFont val="Tahoma"/>
            <family val="2"/>
          </rPr>
          <t>Step 4</t>
        </r>
        <r>
          <rPr>
            <sz val="11"/>
            <color indexed="81"/>
            <rFont val="Tahoma"/>
            <family val="2"/>
          </rPr>
          <t xml:space="preserve">: Calculate the Basic Variable Coefficients Basic Variable Matrix Inverse Product by multiplying the determined Basic Variable Coefficients and the calculated Basic Variable Matrix Inverse </t>
        </r>
        <r>
          <rPr>
            <i/>
            <sz val="11"/>
            <color indexed="81"/>
            <rFont val="Tahoma"/>
            <family val="2"/>
          </rPr>
          <t>(CbvB-1 = Cbv x B-1)</t>
        </r>
        <r>
          <rPr>
            <sz val="11"/>
            <color indexed="81"/>
            <rFont val="Tahoma"/>
            <family val="2"/>
          </rPr>
          <t xml:space="preserve">.
</t>
        </r>
        <r>
          <rPr>
            <b/>
            <sz val="11"/>
            <color indexed="81"/>
            <rFont val="Tahoma"/>
            <family val="2"/>
          </rPr>
          <t>Step 5a</t>
        </r>
        <r>
          <rPr>
            <sz val="11"/>
            <color indexed="81"/>
            <rFont val="Tahoma"/>
            <family val="2"/>
          </rPr>
          <t xml:space="preserve">: Determine the Non-Basic Variables.
</t>
        </r>
        <r>
          <rPr>
            <b/>
            <sz val="11"/>
            <color indexed="81"/>
            <rFont val="Tahoma"/>
            <family val="2"/>
          </rPr>
          <t>Step 5b</t>
        </r>
        <r>
          <rPr>
            <sz val="11"/>
            <color indexed="81"/>
            <rFont val="Tahoma"/>
            <family val="2"/>
          </rPr>
          <t xml:space="preserve">: Calculate the Price Out Values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5c</t>
        </r>
        <r>
          <rPr>
            <sz val="11"/>
            <color indexed="81"/>
            <rFont val="Tahoma"/>
            <family val="2"/>
          </rPr>
          <t xml:space="preserve">: The largest negative Price Out Value selected as Entering Basic Variable. If multiple largest negative Price Out Values exists, the Price Out Value on the left is selected as Entering Basic Variable. If no largest negative Price Out Value exists, then tabluea is optimal, procede to </t>
        </r>
        <r>
          <rPr>
            <b/>
            <sz val="11"/>
            <color indexed="81"/>
            <rFont val="Tahoma"/>
            <family val="2"/>
          </rPr>
          <t>Step 7a</t>
        </r>
        <r>
          <rPr>
            <sz val="11"/>
            <color indexed="81"/>
            <rFont val="Tahoma"/>
            <family val="2"/>
          </rPr>
          <t xml:space="preserve">.
</t>
        </r>
        <r>
          <rPr>
            <b/>
            <sz val="11"/>
            <color indexed="81"/>
            <rFont val="Tahoma"/>
            <family val="2"/>
          </rPr>
          <t>Step 5d</t>
        </r>
        <r>
          <rPr>
            <sz val="11"/>
            <color indexed="81"/>
            <rFont val="Tahoma"/>
            <family val="2"/>
          </rPr>
          <t xml:space="preserve">: Calculate the selected Entering Basic Variable'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5e</t>
        </r>
        <r>
          <rPr>
            <sz val="11"/>
            <color indexed="81"/>
            <rFont val="Tahoma"/>
            <family val="2"/>
          </rPr>
          <t xml:space="preserve">: Calculate the selected Constraint RHS Column by multiplying the calculated Basic Variable Matrix Inverse with the Constraint RHS Column </t>
        </r>
        <r>
          <rPr>
            <i/>
            <sz val="11"/>
            <color indexed="81"/>
            <rFont val="Tahoma"/>
            <family val="2"/>
          </rPr>
          <t>(b* = B-1 x b)</t>
        </r>
        <r>
          <rPr>
            <sz val="11"/>
            <color indexed="81"/>
            <rFont val="Tahoma"/>
            <family val="2"/>
          </rPr>
          <t xml:space="preserve">.
</t>
        </r>
        <r>
          <rPr>
            <b/>
            <sz val="11"/>
            <color indexed="81"/>
            <rFont val="Tahoma"/>
            <family val="2"/>
          </rPr>
          <t>Step 5f</t>
        </r>
        <r>
          <rPr>
            <sz val="11"/>
            <color indexed="81"/>
            <rFont val="Tahoma"/>
            <family val="2"/>
          </rPr>
          <t xml:space="preserve">: A ratio is calculated based on the calculated Constraint RHS Column, divided by the corresponding calculated Non-Basic Variable Column. The ratio with the smallest positive value is selected as the Exiting Basic Variable. If multiple smallest positive ratios exists, the ratio on top is selected as the Exiting Basic Variable. If the RHS value of the constraint is 0 and the corresponding Non-Basic Variable Column coefficient is positive, the resulting 0 ratio is a valid ratio and should be selected as the Exiting Basic Variable. If the RHS value of the constraint is 0 and the corresponding Non-Basic Variable Column coefficient is negative, the resulting 0 ratio is a degenerate ratio and should not be selected as the Exiting Basic Variable. If no positive ratio exists, the Linear Programming Model is considered a Case 4 Model and is unbounded, then stop algorithm.
</t>
        </r>
        <r>
          <rPr>
            <b/>
            <sz val="11"/>
            <color indexed="81"/>
            <rFont val="Tahoma"/>
            <family val="2"/>
          </rPr>
          <t>Step 6</t>
        </r>
        <r>
          <rPr>
            <sz val="11"/>
            <color indexed="81"/>
            <rFont val="Tahoma"/>
            <family val="2"/>
          </rPr>
          <t xml:space="preserve">: The Entering Basic Variable will replace the Exiting Basic Variable as a basic variable in the corrosponding postion. Procede to </t>
        </r>
        <r>
          <rPr>
            <b/>
            <sz val="11"/>
            <color indexed="81"/>
            <rFont val="Tahoma"/>
            <family val="2"/>
          </rPr>
          <t>Step 1</t>
        </r>
        <r>
          <rPr>
            <sz val="11"/>
            <color indexed="81"/>
            <rFont val="Tahoma"/>
            <family val="2"/>
          </rPr>
          <t xml:space="preserve">.
</t>
        </r>
        <r>
          <rPr>
            <b/>
            <sz val="11"/>
            <color indexed="81"/>
            <rFont val="Tahoma"/>
            <family val="2"/>
          </rPr>
          <t>Step 7a</t>
        </r>
        <r>
          <rPr>
            <sz val="11"/>
            <color indexed="81"/>
            <rFont val="Tahoma"/>
            <family val="2"/>
          </rPr>
          <t xml:space="preserve">: Calculate each optimal (z) objective function  coefficient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7b</t>
        </r>
        <r>
          <rPr>
            <sz val="11"/>
            <color indexed="81"/>
            <rFont val="Tahoma"/>
            <family val="2"/>
          </rPr>
          <t xml:space="preserve">: Calculate each optimal Basic and and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7c</t>
        </r>
        <r>
          <rPr>
            <sz val="11"/>
            <color indexed="81"/>
            <rFont val="Tahoma"/>
            <family val="2"/>
          </rPr>
          <t xml:space="preserve">: Calculate the optimal Slack Variable coefficient by mapping the Slack Variable to the corrosponding element in the Basic Variable Coefficients Basic Variable Matrix Inverse Product </t>
        </r>
        <r>
          <rPr>
            <i/>
            <sz val="11"/>
            <color indexed="81"/>
            <rFont val="Tahoma"/>
            <family val="2"/>
          </rPr>
          <t>(Si* = ith element in CbvB-1)</t>
        </r>
        <r>
          <rPr>
            <sz val="11"/>
            <color indexed="81"/>
            <rFont val="Tahoma"/>
            <family val="2"/>
          </rPr>
          <t xml:space="preserve">.
</t>
        </r>
        <r>
          <rPr>
            <b/>
            <sz val="11"/>
            <color indexed="81"/>
            <rFont val="Tahoma"/>
            <family val="2"/>
          </rPr>
          <t>Step 7d</t>
        </r>
        <r>
          <rPr>
            <sz val="11"/>
            <color indexed="81"/>
            <rFont val="Tahoma"/>
            <family val="2"/>
          </rPr>
          <t xml:space="preserve">: Calculate the optimal (z) objective function RHS by multiplying the Basic Variable Coefficients Basic Variable Matrix Inverse Product with the Constraint RHS Column </t>
        </r>
        <r>
          <rPr>
            <i/>
            <sz val="11"/>
            <color indexed="81"/>
            <rFont val="Tahoma"/>
            <family val="2"/>
          </rPr>
          <t>(z* = CbvB-1 x b)</t>
        </r>
        <r>
          <rPr>
            <sz val="11"/>
            <color indexed="81"/>
            <rFont val="Tahoma"/>
            <family val="2"/>
          </rPr>
          <t xml:space="preserve">.
</t>
        </r>
        <r>
          <rPr>
            <b/>
            <sz val="11"/>
            <color indexed="81"/>
            <rFont val="Tahoma"/>
            <family val="2"/>
          </rPr>
          <t>Step 7e</t>
        </r>
        <r>
          <rPr>
            <sz val="11"/>
            <color indexed="81"/>
            <rFont val="Tahoma"/>
            <family val="2"/>
          </rPr>
          <t xml:space="preserve">: Calculate the optimal Constraint RHS Column by multiplying the Basic Variable Matrix Inverse Product with the Constraint RHS Column </t>
        </r>
        <r>
          <rPr>
            <i/>
            <sz val="11"/>
            <color indexed="81"/>
            <rFont val="Tahoma"/>
            <family val="2"/>
          </rPr>
          <t>(b* = B-1 x b)</t>
        </r>
        <r>
          <rPr>
            <sz val="11"/>
            <color indexed="81"/>
            <rFont val="Tahoma"/>
            <family val="2"/>
          </rPr>
          <t xml:space="preserve">.
</t>
        </r>
        <r>
          <rPr>
            <b/>
            <sz val="11"/>
            <color indexed="81"/>
            <rFont val="Tahoma"/>
            <family val="2"/>
          </rPr>
          <t>Step 7f</t>
        </r>
        <r>
          <rPr>
            <sz val="11"/>
            <color indexed="81"/>
            <rFont val="Tahoma"/>
            <family val="2"/>
          </rPr>
          <t xml:space="preserve">: Populate the optimal tabluea with all calculated values. 
</t>
        </r>
        <r>
          <rPr>
            <b/>
            <sz val="11"/>
            <color indexed="81"/>
            <rFont val="Tahoma"/>
            <family val="2"/>
          </rPr>
          <t>Step 8</t>
        </r>
        <r>
          <rPr>
            <sz val="11"/>
            <color indexed="81"/>
            <rFont val="Tahoma"/>
            <family val="2"/>
          </rPr>
          <t>: Basic variables are identified in order of coefficient with the value of 1 in respective column, from top to bottom. Non-Basic variables are identified in order of left to right.</t>
        </r>
      </text>
    </comment>
    <comment ref="B63" authorId="0" shapeId="0">
      <text>
        <r>
          <rPr>
            <b/>
            <sz val="11"/>
            <color indexed="81"/>
            <rFont val="Tahoma"/>
            <family val="2"/>
          </rPr>
          <t>A. J. Welgemoed:</t>
        </r>
        <r>
          <rPr>
            <sz val="11"/>
            <color indexed="81"/>
            <rFont val="Tahoma"/>
            <family val="2"/>
          </rPr>
          <t xml:space="preserve">
</t>
        </r>
        <r>
          <rPr>
            <b/>
            <sz val="11"/>
            <color indexed="81"/>
            <rFont val="Tahoma"/>
            <family val="2"/>
          </rPr>
          <t>Revised Primal Simplex Algorithm: Max Linear Programming Model.</t>
        </r>
        <r>
          <rPr>
            <sz val="11"/>
            <color indexed="81"/>
            <rFont val="Tahoma"/>
            <family val="2"/>
          </rPr>
          <t xml:space="preserve">
</t>
        </r>
        <r>
          <rPr>
            <b/>
            <sz val="11"/>
            <color indexed="81"/>
            <rFont val="Tahoma"/>
            <family val="2"/>
          </rPr>
          <t>Step 1</t>
        </r>
        <r>
          <rPr>
            <sz val="11"/>
            <color indexed="81"/>
            <rFont val="Tahoma"/>
            <family val="2"/>
          </rPr>
          <t xml:space="preserve">: Determine the current Basic Variables.
</t>
        </r>
        <r>
          <rPr>
            <b/>
            <sz val="11"/>
            <color indexed="81"/>
            <rFont val="Tahoma"/>
            <family val="2"/>
          </rPr>
          <t>Step 2</t>
        </r>
        <r>
          <rPr>
            <sz val="11"/>
            <color indexed="81"/>
            <rFont val="Tahoma"/>
            <family val="2"/>
          </rPr>
          <t xml:space="preserve">: Determine the current Basic Variable Coefficients.
</t>
        </r>
        <r>
          <rPr>
            <b/>
            <sz val="11"/>
            <color indexed="81"/>
            <rFont val="Tahoma"/>
            <family val="2"/>
          </rPr>
          <t>Step 3a</t>
        </r>
        <r>
          <rPr>
            <sz val="11"/>
            <color indexed="81"/>
            <rFont val="Tahoma"/>
            <family val="2"/>
          </rPr>
          <t xml:space="preserve">: 1st Product Form: If currently not 1st Product Form, then procede to </t>
        </r>
        <r>
          <rPr>
            <b/>
            <sz val="11"/>
            <color indexed="81"/>
            <rFont val="Tahoma"/>
            <family val="2"/>
          </rPr>
          <t>Step 3b</t>
        </r>
        <r>
          <rPr>
            <sz val="11"/>
            <color indexed="81"/>
            <rFont val="Tahoma"/>
            <family val="2"/>
          </rPr>
          <t xml:space="preserve">. Else, determine the Basic Variable Matrix. The Basic Variable Matrix equals the Identity Matrix, the Elementry Matrix and the Basic Variable Matrix Inverse. Procede to </t>
        </r>
        <r>
          <rPr>
            <b/>
            <sz val="11"/>
            <color indexed="81"/>
            <rFont val="Tahoma"/>
            <family val="2"/>
          </rPr>
          <t>Step 4</t>
        </r>
        <r>
          <rPr>
            <sz val="11"/>
            <color indexed="81"/>
            <rFont val="Tahoma"/>
            <family val="2"/>
          </rPr>
          <t xml:space="preserve">.
</t>
        </r>
        <r>
          <rPr>
            <b/>
            <sz val="11"/>
            <color indexed="81"/>
            <rFont val="Tahoma"/>
            <family val="2"/>
          </rPr>
          <t>Step 3b</t>
        </r>
        <r>
          <rPr>
            <sz val="11"/>
            <color indexed="81"/>
            <rFont val="Tahoma"/>
            <family val="2"/>
          </rPr>
          <t xml:space="preserve">: Not 1st Product Form: Determine the Identity Matrix. 
</t>
        </r>
        <r>
          <rPr>
            <b/>
            <sz val="11"/>
            <color indexed="81"/>
            <rFont val="Tahoma"/>
            <family val="2"/>
          </rPr>
          <t>Step 3c</t>
        </r>
        <r>
          <rPr>
            <sz val="11"/>
            <color indexed="81"/>
            <rFont val="Tahoma"/>
            <family val="2"/>
          </rPr>
          <t xml:space="preserve">: Identify the Entering Basic Variable' Non-Basic Variable Column. The Pivoting Element is the element in the Entering Basic Variable' Non-Basic Variable Column corrosponding to the Exiting Basic Variable position. The Pivoting Element in the Entering Elementry Matrix Column is calculated by dividing 1 by the Pivoting Element. The elements not being the Pivoting Element in the Entering Elementry Matrix Column is calculated by dividing the corrosponding element in the Entering Basic Variable' Non-Basic Variable Column by the Pivoting Element and then multiplying it with negative 1.
</t>
        </r>
        <r>
          <rPr>
            <b/>
            <sz val="11"/>
            <color indexed="81"/>
            <rFont val="Tahoma"/>
            <family val="2"/>
          </rPr>
          <t>Step 3d</t>
        </r>
        <r>
          <rPr>
            <sz val="11"/>
            <color indexed="81"/>
            <rFont val="Tahoma"/>
            <family val="2"/>
          </rPr>
          <t xml:space="preserve">: Insert the Entering Elementry Matrix Column into the Identy Matrix, using the Exiting Basic Variable position, to create the Elementry Matrix.
</t>
        </r>
        <r>
          <rPr>
            <b/>
            <sz val="11"/>
            <color indexed="81"/>
            <rFont val="Tahoma"/>
            <family val="2"/>
          </rPr>
          <t>Step 3e</t>
        </r>
        <r>
          <rPr>
            <sz val="11"/>
            <color indexed="81"/>
            <rFont val="Tahoma"/>
            <family val="2"/>
          </rPr>
          <t xml:space="preserve">: Calculate the Basic Variable Matrix Inverse Product by multiplying the Elementry Matrix with the previosly calculated Basic Variable Matrix Inverse Product.
</t>
        </r>
        <r>
          <rPr>
            <b/>
            <sz val="11"/>
            <color indexed="81"/>
            <rFont val="Tahoma"/>
            <family val="2"/>
          </rPr>
          <t>Step 4</t>
        </r>
        <r>
          <rPr>
            <sz val="11"/>
            <color indexed="81"/>
            <rFont val="Tahoma"/>
            <family val="2"/>
          </rPr>
          <t xml:space="preserve">: Calculate the Basic Variable Coefficients Basic Variable Matrix Inverse Product by multiplying the determined Basic Variable Coefficients and the calculated Basic Variable Matrix Inverse </t>
        </r>
        <r>
          <rPr>
            <i/>
            <sz val="11"/>
            <color indexed="81"/>
            <rFont val="Tahoma"/>
            <family val="2"/>
          </rPr>
          <t>(CbvB-1 = Cbv x B-1)</t>
        </r>
        <r>
          <rPr>
            <sz val="11"/>
            <color indexed="81"/>
            <rFont val="Tahoma"/>
            <family val="2"/>
          </rPr>
          <t xml:space="preserve">.
</t>
        </r>
        <r>
          <rPr>
            <b/>
            <sz val="11"/>
            <color indexed="81"/>
            <rFont val="Tahoma"/>
            <family val="2"/>
          </rPr>
          <t>Step 5a</t>
        </r>
        <r>
          <rPr>
            <sz val="11"/>
            <color indexed="81"/>
            <rFont val="Tahoma"/>
            <family val="2"/>
          </rPr>
          <t xml:space="preserve">: Determine the Non-Basic Variables.
</t>
        </r>
        <r>
          <rPr>
            <b/>
            <sz val="11"/>
            <color indexed="81"/>
            <rFont val="Tahoma"/>
            <family val="2"/>
          </rPr>
          <t>Step 5b</t>
        </r>
        <r>
          <rPr>
            <sz val="11"/>
            <color indexed="81"/>
            <rFont val="Tahoma"/>
            <family val="2"/>
          </rPr>
          <t xml:space="preserve">: Calculate the Price Out Values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5c</t>
        </r>
        <r>
          <rPr>
            <sz val="11"/>
            <color indexed="81"/>
            <rFont val="Tahoma"/>
            <family val="2"/>
          </rPr>
          <t xml:space="preserve">: The largest negative Price Out Value selected as Entering Basic Variable. If multiple largest negative Price Out Values exists, the Price Out Value on the left is selected as Entering Basic Variable. If no largest negative Price Out Value exists, then tabluea is optimal, procede to </t>
        </r>
        <r>
          <rPr>
            <b/>
            <sz val="11"/>
            <color indexed="81"/>
            <rFont val="Tahoma"/>
            <family val="2"/>
          </rPr>
          <t>Step 7a</t>
        </r>
        <r>
          <rPr>
            <sz val="11"/>
            <color indexed="81"/>
            <rFont val="Tahoma"/>
            <family val="2"/>
          </rPr>
          <t xml:space="preserve">.
</t>
        </r>
        <r>
          <rPr>
            <b/>
            <sz val="11"/>
            <color indexed="81"/>
            <rFont val="Tahoma"/>
            <family val="2"/>
          </rPr>
          <t>Step 5d</t>
        </r>
        <r>
          <rPr>
            <sz val="11"/>
            <color indexed="81"/>
            <rFont val="Tahoma"/>
            <family val="2"/>
          </rPr>
          <t xml:space="preserve">: Calculate the selected Entering Basic Variable'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5e</t>
        </r>
        <r>
          <rPr>
            <sz val="11"/>
            <color indexed="81"/>
            <rFont val="Tahoma"/>
            <family val="2"/>
          </rPr>
          <t xml:space="preserve">: Calculate the selected Constraint RHS Column by multiplying the calculated Basic Variable Matrix Inverse with the Constraint RHS Column </t>
        </r>
        <r>
          <rPr>
            <i/>
            <sz val="11"/>
            <color indexed="81"/>
            <rFont val="Tahoma"/>
            <family val="2"/>
          </rPr>
          <t>(b* = B-1 x b)</t>
        </r>
        <r>
          <rPr>
            <sz val="11"/>
            <color indexed="81"/>
            <rFont val="Tahoma"/>
            <family val="2"/>
          </rPr>
          <t xml:space="preserve">.
</t>
        </r>
        <r>
          <rPr>
            <b/>
            <sz val="11"/>
            <color indexed="81"/>
            <rFont val="Tahoma"/>
            <family val="2"/>
          </rPr>
          <t>Step 5f</t>
        </r>
        <r>
          <rPr>
            <sz val="11"/>
            <color indexed="81"/>
            <rFont val="Tahoma"/>
            <family val="2"/>
          </rPr>
          <t xml:space="preserve">: A ratio is calculated based on the calculated Constraint RHS Column, divided by the corresponding calculated Non-Basic Variable Column. The ratio with the smallest positive value is selected as the Exiting Basic Variable. If multiple smallest positive ratios exists, the ratio on top is selected as the Exiting Basic Variable. If the RHS value of the constraint is 0 and the corresponding Non-Basic Variable Column coefficient is positive, the resulting 0 ratio is a valid ratio and should be selected as the Exiting Basic Variable. If the RHS value of the constraint is 0 and the corresponding Non-Basic Variable Column coefficient is negative, the resulting 0 ratio is a degenerate ratio and should not be selected as the Exiting Basic Variable. If no positive ratio exists, the Linear Programming Model is considered a Case 4 Model and is unbounded, then stop algorithm.
</t>
        </r>
        <r>
          <rPr>
            <b/>
            <sz val="11"/>
            <color indexed="81"/>
            <rFont val="Tahoma"/>
            <family val="2"/>
          </rPr>
          <t>Step 6</t>
        </r>
        <r>
          <rPr>
            <sz val="11"/>
            <color indexed="81"/>
            <rFont val="Tahoma"/>
            <family val="2"/>
          </rPr>
          <t xml:space="preserve">: The Entering Basic Variable will replace the Exiting Basic Variable as a basic variable in the corrosponding postion. Procede to </t>
        </r>
        <r>
          <rPr>
            <b/>
            <sz val="11"/>
            <color indexed="81"/>
            <rFont val="Tahoma"/>
            <family val="2"/>
          </rPr>
          <t>Step 1</t>
        </r>
        <r>
          <rPr>
            <sz val="11"/>
            <color indexed="81"/>
            <rFont val="Tahoma"/>
            <family val="2"/>
          </rPr>
          <t xml:space="preserve">.
</t>
        </r>
        <r>
          <rPr>
            <b/>
            <sz val="11"/>
            <color indexed="81"/>
            <rFont val="Tahoma"/>
            <family val="2"/>
          </rPr>
          <t>Step 7a</t>
        </r>
        <r>
          <rPr>
            <sz val="11"/>
            <color indexed="81"/>
            <rFont val="Tahoma"/>
            <family val="2"/>
          </rPr>
          <t xml:space="preserve">: Calculate each optimal (z) objective function  coefficient by multiplying the calculated Basic Variable Coefficients Basic Variable Matrix Inverse Product with the Non-Basic Variable Columns and then subtracting the Non Basic Variable Coefficient </t>
        </r>
        <r>
          <rPr>
            <i/>
            <sz val="11"/>
            <color indexed="81"/>
            <rFont val="Tahoma"/>
            <family val="2"/>
          </rPr>
          <t>(Ci* = (CbvB-1 x Ai) - Ci)</t>
        </r>
        <r>
          <rPr>
            <sz val="11"/>
            <color indexed="81"/>
            <rFont val="Tahoma"/>
            <family val="2"/>
          </rPr>
          <t xml:space="preserve">. 
</t>
        </r>
        <r>
          <rPr>
            <b/>
            <sz val="11"/>
            <color indexed="81"/>
            <rFont val="Tahoma"/>
            <family val="2"/>
          </rPr>
          <t>Step 7b</t>
        </r>
        <r>
          <rPr>
            <sz val="11"/>
            <color indexed="81"/>
            <rFont val="Tahoma"/>
            <family val="2"/>
          </rPr>
          <t xml:space="preserve">: Calculate each optimal Basic and and Non-Basic Variable Column by multiplying the calculated Basic Variable Matrix Inverse with the Non-Basic Variable Column </t>
        </r>
        <r>
          <rPr>
            <i/>
            <sz val="11"/>
            <color indexed="81"/>
            <rFont val="Tahoma"/>
            <family val="2"/>
          </rPr>
          <t>(Ai* = B-1 x Ai)</t>
        </r>
        <r>
          <rPr>
            <sz val="11"/>
            <color indexed="81"/>
            <rFont val="Tahoma"/>
            <family val="2"/>
          </rPr>
          <t xml:space="preserve">.
</t>
        </r>
        <r>
          <rPr>
            <b/>
            <sz val="11"/>
            <color indexed="81"/>
            <rFont val="Tahoma"/>
            <family val="2"/>
          </rPr>
          <t>Step 7c</t>
        </r>
        <r>
          <rPr>
            <sz val="11"/>
            <color indexed="81"/>
            <rFont val="Tahoma"/>
            <family val="2"/>
          </rPr>
          <t xml:space="preserve">: Calculate the optimal Slack Variable coefficient by mapping the Slack Variable to the corrosponding element in the Basic Variable Coefficients Basic Variable Matrix Inverse Product </t>
        </r>
        <r>
          <rPr>
            <i/>
            <sz val="11"/>
            <color indexed="81"/>
            <rFont val="Tahoma"/>
            <family val="2"/>
          </rPr>
          <t>(Si* = ith element in CbvB-1)</t>
        </r>
        <r>
          <rPr>
            <sz val="11"/>
            <color indexed="81"/>
            <rFont val="Tahoma"/>
            <family val="2"/>
          </rPr>
          <t xml:space="preserve">.
</t>
        </r>
        <r>
          <rPr>
            <b/>
            <sz val="11"/>
            <color indexed="81"/>
            <rFont val="Tahoma"/>
            <family val="2"/>
          </rPr>
          <t>Step 7d</t>
        </r>
        <r>
          <rPr>
            <sz val="11"/>
            <color indexed="81"/>
            <rFont val="Tahoma"/>
            <family val="2"/>
          </rPr>
          <t xml:space="preserve">: Calculate the optimal (z) objective function RHS by multiplying the Basic Variable Coefficients Basic Variable Matrix Inverse Product with the Constraint RHS Column </t>
        </r>
        <r>
          <rPr>
            <i/>
            <sz val="11"/>
            <color indexed="81"/>
            <rFont val="Tahoma"/>
            <family val="2"/>
          </rPr>
          <t>(z* = CbvB-1 x b)</t>
        </r>
        <r>
          <rPr>
            <sz val="11"/>
            <color indexed="81"/>
            <rFont val="Tahoma"/>
            <family val="2"/>
          </rPr>
          <t xml:space="preserve">.
</t>
        </r>
        <r>
          <rPr>
            <b/>
            <sz val="11"/>
            <color indexed="81"/>
            <rFont val="Tahoma"/>
            <family val="2"/>
          </rPr>
          <t>Step 7e</t>
        </r>
        <r>
          <rPr>
            <sz val="11"/>
            <color indexed="81"/>
            <rFont val="Tahoma"/>
            <family val="2"/>
          </rPr>
          <t xml:space="preserve">: Calculate the optimal Constraint RHS Column by multiplying the Basic Variable Matrix Inverse Product with the Constraint RHS Column </t>
        </r>
        <r>
          <rPr>
            <i/>
            <sz val="11"/>
            <color indexed="81"/>
            <rFont val="Tahoma"/>
            <family val="2"/>
          </rPr>
          <t>(b* = B-1 x b)</t>
        </r>
        <r>
          <rPr>
            <sz val="11"/>
            <color indexed="81"/>
            <rFont val="Tahoma"/>
            <family val="2"/>
          </rPr>
          <t xml:space="preserve">.
</t>
        </r>
        <r>
          <rPr>
            <b/>
            <sz val="11"/>
            <color indexed="81"/>
            <rFont val="Tahoma"/>
            <family val="2"/>
          </rPr>
          <t>Step 7f</t>
        </r>
        <r>
          <rPr>
            <sz val="11"/>
            <color indexed="81"/>
            <rFont val="Tahoma"/>
            <family val="2"/>
          </rPr>
          <t xml:space="preserve">: Populate the optimal tabluea with all calculated values. 
</t>
        </r>
        <r>
          <rPr>
            <b/>
            <sz val="11"/>
            <color indexed="81"/>
            <rFont val="Tahoma"/>
            <family val="2"/>
          </rPr>
          <t>Step 8</t>
        </r>
        <r>
          <rPr>
            <sz val="11"/>
            <color indexed="81"/>
            <rFont val="Tahoma"/>
            <family val="2"/>
          </rPr>
          <t>: Basic variables are identified in order of coefficient with the value of 1 in respective column, from top to bottom. Non-Basic variables are identified in order of left to right.</t>
        </r>
      </text>
    </comment>
  </commentList>
</comments>
</file>

<file path=xl/sharedStrings.xml><?xml version="1.0" encoding="utf-8"?>
<sst xmlns="http://schemas.openxmlformats.org/spreadsheetml/2006/main" count="535" uniqueCount="225">
  <si>
    <t>Objective Function</t>
  </si>
  <si>
    <t>X1</t>
  </si>
  <si>
    <t>X2</t>
  </si>
  <si>
    <t>Subject To</t>
  </si>
  <si>
    <t>&lt;=</t>
  </si>
  <si>
    <t>Sign</t>
  </si>
  <si>
    <t>Constraint</t>
  </si>
  <si>
    <t>Cell Ref.</t>
  </si>
  <si>
    <t>Decision Variable</t>
  </si>
  <si>
    <t>max z</t>
  </si>
  <si>
    <t>x1</t>
  </si>
  <si>
    <t>x2</t>
  </si>
  <si>
    <t>s1</t>
  </si>
  <si>
    <t>s2</t>
  </si>
  <si>
    <t>s3</t>
  </si>
  <si>
    <t>rhs</t>
  </si>
  <si>
    <t>Microsoft Excel 14.0 Sensitivity Report</t>
  </si>
  <si>
    <t>Worksheet: [c2 p21 - Santas Workshop - Basic LP.xlsx]Solver</t>
  </si>
  <si>
    <t>Report Created: 10/6/2014 8:30:50 AM</t>
  </si>
  <si>
    <t>Variable Cells</t>
  </si>
  <si>
    <t>Cell</t>
  </si>
  <si>
    <t>Name</t>
  </si>
  <si>
    <t>Final</t>
  </si>
  <si>
    <t>Value</t>
  </si>
  <si>
    <t>Reduced</t>
  </si>
  <si>
    <t>Cost</t>
  </si>
  <si>
    <t>Objective</t>
  </si>
  <si>
    <t>Coefficient</t>
  </si>
  <si>
    <t>Allowable</t>
  </si>
  <si>
    <t>Increase</t>
  </si>
  <si>
    <t>Decrease</t>
  </si>
  <si>
    <t>Constraints</t>
  </si>
  <si>
    <t>Shadow</t>
  </si>
  <si>
    <t>Price</t>
  </si>
  <si>
    <t>R.H. Side</t>
  </si>
  <si>
    <t>$C$10</t>
  </si>
  <si>
    <t>Decision Variable X1</t>
  </si>
  <si>
    <t>$D$10</t>
  </si>
  <si>
    <t>Decision Variable X2</t>
  </si>
  <si>
    <t>$E$6</t>
  </si>
  <si>
    <t>$E$7</t>
  </si>
  <si>
    <t>$E$8</t>
  </si>
  <si>
    <t>Max z</t>
  </si>
  <si>
    <r>
      <t>3x</t>
    </r>
    <r>
      <rPr>
        <sz val="6"/>
        <color theme="1"/>
        <rFont val="Calibri"/>
        <family val="2"/>
        <scheme val="minor"/>
      </rPr>
      <t>1</t>
    </r>
  </si>
  <si>
    <r>
      <t>2x</t>
    </r>
    <r>
      <rPr>
        <sz val="6"/>
        <color theme="1"/>
        <rFont val="Calibri"/>
        <family val="2"/>
        <scheme val="minor"/>
      </rPr>
      <t>2</t>
    </r>
  </si>
  <si>
    <t>+</t>
  </si>
  <si>
    <t>s.t.</t>
  </si>
  <si>
    <r>
      <t>2x</t>
    </r>
    <r>
      <rPr>
        <sz val="6"/>
        <color theme="1"/>
        <rFont val="Calibri"/>
        <family val="2"/>
        <scheme val="minor"/>
      </rPr>
      <t>1</t>
    </r>
  </si>
  <si>
    <r>
      <t>x</t>
    </r>
    <r>
      <rPr>
        <sz val="6"/>
        <color theme="1"/>
        <rFont val="Calibri"/>
        <family val="2"/>
        <scheme val="minor"/>
      </rPr>
      <t>1</t>
    </r>
  </si>
  <si>
    <r>
      <t>x</t>
    </r>
    <r>
      <rPr>
        <sz val="6"/>
        <color theme="1"/>
        <rFont val="Calibri"/>
        <family val="2"/>
        <scheme val="minor"/>
      </rPr>
      <t>2</t>
    </r>
  </si>
  <si>
    <r>
      <t>x</t>
    </r>
    <r>
      <rPr>
        <sz val="6"/>
        <color theme="1"/>
        <rFont val="Calibri"/>
        <family val="2"/>
        <scheme val="minor"/>
      </rPr>
      <t xml:space="preserve">1, </t>
    </r>
    <r>
      <rPr>
        <sz val="11"/>
        <color theme="1"/>
        <rFont val="Calibri"/>
        <family val="2"/>
        <scheme val="minor"/>
      </rPr>
      <t>x</t>
    </r>
    <r>
      <rPr>
        <sz val="6"/>
        <color theme="1"/>
        <rFont val="Calibri"/>
        <family val="2"/>
        <scheme val="minor"/>
      </rPr>
      <t>2</t>
    </r>
  </si>
  <si>
    <t>≤</t>
  </si>
  <si>
    <t>≥</t>
  </si>
  <si>
    <t>Min w</t>
  </si>
  <si>
    <r>
      <t>100y</t>
    </r>
    <r>
      <rPr>
        <sz val="6"/>
        <color theme="1"/>
        <rFont val="Calibri"/>
        <family val="2"/>
        <scheme val="minor"/>
      </rPr>
      <t>1</t>
    </r>
  </si>
  <si>
    <r>
      <t>80y</t>
    </r>
    <r>
      <rPr>
        <sz val="6"/>
        <color theme="1"/>
        <rFont val="Calibri"/>
        <family val="2"/>
        <scheme val="minor"/>
      </rPr>
      <t>2</t>
    </r>
  </si>
  <si>
    <r>
      <t>40y</t>
    </r>
    <r>
      <rPr>
        <sz val="6"/>
        <color theme="1"/>
        <rFont val="Calibri"/>
        <family val="2"/>
        <scheme val="minor"/>
      </rPr>
      <t>3</t>
    </r>
  </si>
  <si>
    <r>
      <t>2y</t>
    </r>
    <r>
      <rPr>
        <sz val="6"/>
        <color theme="1"/>
        <rFont val="Calibri"/>
        <family val="2"/>
        <scheme val="minor"/>
      </rPr>
      <t>1</t>
    </r>
  </si>
  <si>
    <r>
      <t>y</t>
    </r>
    <r>
      <rPr>
        <sz val="6"/>
        <color theme="1"/>
        <rFont val="Calibri"/>
        <family val="2"/>
        <scheme val="minor"/>
      </rPr>
      <t>2</t>
    </r>
  </si>
  <si>
    <r>
      <t>y</t>
    </r>
    <r>
      <rPr>
        <sz val="6"/>
        <color theme="1"/>
        <rFont val="Calibri"/>
        <family val="2"/>
        <scheme val="minor"/>
      </rPr>
      <t>3</t>
    </r>
  </si>
  <si>
    <r>
      <t>y</t>
    </r>
    <r>
      <rPr>
        <sz val="6"/>
        <color theme="1"/>
        <rFont val="Calibri"/>
        <family val="2"/>
        <scheme val="minor"/>
      </rPr>
      <t>1</t>
    </r>
  </si>
  <si>
    <r>
      <t>y</t>
    </r>
    <r>
      <rPr>
        <sz val="6"/>
        <color theme="1"/>
        <rFont val="Calibri"/>
        <family val="2"/>
        <scheme val="minor"/>
      </rPr>
      <t xml:space="preserve">1, </t>
    </r>
    <r>
      <rPr>
        <sz val="11"/>
        <color theme="1"/>
        <rFont val="Calibri"/>
        <family val="2"/>
        <scheme val="minor"/>
      </rPr>
      <t>y</t>
    </r>
    <r>
      <rPr>
        <sz val="6"/>
        <color theme="1"/>
        <rFont val="Calibri"/>
        <family val="2"/>
        <scheme val="minor"/>
      </rPr>
      <t xml:space="preserve">2, </t>
    </r>
    <r>
      <rPr>
        <sz val="11"/>
        <color theme="1"/>
        <rFont val="Calibri"/>
        <family val="2"/>
        <scheme val="minor"/>
      </rPr>
      <t>y</t>
    </r>
    <r>
      <rPr>
        <sz val="6"/>
        <color theme="1"/>
        <rFont val="Calibri"/>
        <family val="2"/>
        <scheme val="minor"/>
      </rPr>
      <t>3</t>
    </r>
  </si>
  <si>
    <t>T-i</t>
  </si>
  <si>
    <t>B</t>
  </si>
  <si>
    <t>N</t>
  </si>
  <si>
    <r>
      <t>B</t>
    </r>
    <r>
      <rPr>
        <b/>
        <sz val="8"/>
        <color theme="1"/>
        <rFont val="Calibri"/>
        <family val="2"/>
        <scheme val="minor"/>
      </rPr>
      <t>(Coeff.)</t>
    </r>
  </si>
  <si>
    <t>det.</t>
  </si>
  <si>
    <r>
      <t>B</t>
    </r>
    <r>
      <rPr>
        <b/>
        <sz val="8"/>
        <color theme="1"/>
        <rFont val="Calibri"/>
        <family val="2"/>
        <scheme val="minor"/>
      </rPr>
      <t>(Ajoint)</t>
    </r>
  </si>
  <si>
    <r>
      <t>B</t>
    </r>
    <r>
      <rPr>
        <b/>
        <sz val="8"/>
        <color theme="1"/>
        <rFont val="Calibri"/>
        <family val="2"/>
        <scheme val="minor"/>
      </rPr>
      <t>-1</t>
    </r>
  </si>
  <si>
    <t>b</t>
  </si>
  <si>
    <t>x</t>
  </si>
  <si>
    <t>-</t>
  </si>
  <si>
    <t>=</t>
  </si>
  <si>
    <r>
      <t>A</t>
    </r>
    <r>
      <rPr>
        <b/>
        <sz val="8"/>
        <color theme="1"/>
        <rFont val="Calibri"/>
        <family val="2"/>
        <scheme val="minor"/>
      </rPr>
      <t>1*</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A</t>
    </r>
    <r>
      <rPr>
        <b/>
        <sz val="8"/>
        <color theme="1"/>
        <rFont val="Calibri"/>
        <family val="2"/>
        <scheme val="minor"/>
      </rPr>
      <t>1</t>
    </r>
  </si>
  <si>
    <r>
      <t>A</t>
    </r>
    <r>
      <rPr>
        <b/>
        <sz val="8"/>
        <color theme="1"/>
        <rFont val="Calibri"/>
        <family val="2"/>
        <scheme val="minor"/>
      </rPr>
      <t>2*</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A</t>
    </r>
    <r>
      <rPr>
        <b/>
        <sz val="8"/>
        <color theme="1"/>
        <rFont val="Calibri"/>
        <family val="2"/>
        <scheme val="minor"/>
      </rPr>
      <t>2</t>
    </r>
  </si>
  <si>
    <r>
      <t>A</t>
    </r>
    <r>
      <rPr>
        <b/>
        <sz val="8"/>
        <color theme="1"/>
        <rFont val="Calibri"/>
        <family val="2"/>
        <scheme val="minor"/>
      </rPr>
      <t>3*</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A</t>
    </r>
    <r>
      <rPr>
        <b/>
        <sz val="8"/>
        <color theme="1"/>
        <rFont val="Calibri"/>
        <family val="2"/>
        <scheme val="minor"/>
      </rPr>
      <t>3</t>
    </r>
  </si>
  <si>
    <r>
      <t>A</t>
    </r>
    <r>
      <rPr>
        <b/>
        <sz val="8"/>
        <color theme="1"/>
        <rFont val="Calibri"/>
        <family val="2"/>
        <scheme val="minor"/>
      </rPr>
      <t>4*</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A</t>
    </r>
    <r>
      <rPr>
        <b/>
        <sz val="8"/>
        <color theme="1"/>
        <rFont val="Calibri"/>
        <family val="2"/>
        <scheme val="minor"/>
      </rPr>
      <t>4</t>
    </r>
  </si>
  <si>
    <r>
      <t>A</t>
    </r>
    <r>
      <rPr>
        <b/>
        <sz val="8"/>
        <color theme="1"/>
        <rFont val="Calibri"/>
        <family val="2"/>
        <scheme val="minor"/>
      </rPr>
      <t>5*</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A</t>
    </r>
    <r>
      <rPr>
        <b/>
        <sz val="8"/>
        <color theme="1"/>
        <rFont val="Calibri"/>
        <family val="2"/>
        <scheme val="minor"/>
      </rPr>
      <t>5</t>
    </r>
  </si>
  <si>
    <r>
      <t>b</t>
    </r>
    <r>
      <rPr>
        <b/>
        <sz val="8"/>
        <color theme="1"/>
        <rFont val="Calibri"/>
        <family val="2"/>
        <scheme val="minor"/>
      </rPr>
      <t>*</t>
    </r>
    <r>
      <rPr>
        <b/>
        <sz val="11"/>
        <color theme="1"/>
        <rFont val="Calibri"/>
        <family val="2"/>
        <scheme val="minor"/>
      </rPr>
      <t xml:space="preserve"> = B</t>
    </r>
    <r>
      <rPr>
        <b/>
        <sz val="8"/>
        <color theme="1"/>
        <rFont val="Calibri"/>
        <family val="2"/>
        <scheme val="minor"/>
      </rPr>
      <t>-1</t>
    </r>
    <r>
      <rPr>
        <b/>
        <sz val="11"/>
        <color theme="1"/>
        <rFont val="Calibri"/>
        <family val="2"/>
        <scheme val="minor"/>
      </rPr>
      <t xml:space="preserve"> x b</t>
    </r>
  </si>
  <si>
    <r>
      <t>C</t>
    </r>
    <r>
      <rPr>
        <b/>
        <sz val="8"/>
        <color theme="1"/>
        <rFont val="Calibri"/>
        <family val="2"/>
        <scheme val="minor"/>
      </rPr>
      <t>1*</t>
    </r>
    <r>
      <rPr>
        <b/>
        <sz val="11"/>
        <color theme="1"/>
        <rFont val="Calibri"/>
        <family val="2"/>
        <scheme val="minor"/>
      </rPr>
      <t xml:space="preserve"> = (C</t>
    </r>
    <r>
      <rPr>
        <b/>
        <sz val="8"/>
        <color theme="1"/>
        <rFont val="Calibri"/>
        <family val="2"/>
        <scheme val="minor"/>
      </rPr>
      <t>bv</t>
    </r>
    <r>
      <rPr>
        <b/>
        <sz val="11"/>
        <color theme="1"/>
        <rFont val="Calibri"/>
        <family val="2"/>
        <scheme val="minor"/>
      </rPr>
      <t>B</t>
    </r>
    <r>
      <rPr>
        <b/>
        <sz val="8"/>
        <color theme="1"/>
        <rFont val="Calibri"/>
        <family val="2"/>
        <scheme val="minor"/>
      </rPr>
      <t>-1</t>
    </r>
    <r>
      <rPr>
        <b/>
        <sz val="11"/>
        <color theme="1"/>
        <rFont val="Calibri"/>
        <family val="2"/>
        <scheme val="minor"/>
      </rPr>
      <t xml:space="preserve"> x A</t>
    </r>
    <r>
      <rPr>
        <b/>
        <sz val="8"/>
        <color theme="1"/>
        <rFont val="Calibri"/>
        <family val="2"/>
        <scheme val="minor"/>
      </rPr>
      <t>1</t>
    </r>
    <r>
      <rPr>
        <b/>
        <sz val="11"/>
        <color theme="1"/>
        <rFont val="Calibri"/>
        <family val="2"/>
        <scheme val="minor"/>
      </rPr>
      <t>) - C</t>
    </r>
    <r>
      <rPr>
        <b/>
        <sz val="8"/>
        <color theme="1"/>
        <rFont val="Calibri"/>
        <family val="2"/>
        <scheme val="minor"/>
      </rPr>
      <t>1</t>
    </r>
  </si>
  <si>
    <r>
      <t>S</t>
    </r>
    <r>
      <rPr>
        <b/>
        <sz val="8"/>
        <color theme="1"/>
        <rFont val="Calibri"/>
        <family val="2"/>
        <scheme val="minor"/>
      </rPr>
      <t>1*</t>
    </r>
    <r>
      <rPr>
        <b/>
        <sz val="11"/>
        <color theme="1"/>
        <rFont val="Calibri"/>
        <family val="2"/>
        <scheme val="minor"/>
      </rPr>
      <t xml:space="preserve"> = 1</t>
    </r>
    <r>
      <rPr>
        <b/>
        <sz val="8"/>
        <color theme="1"/>
        <rFont val="Calibri"/>
        <family val="2"/>
        <scheme val="minor"/>
      </rPr>
      <t>th</t>
    </r>
    <r>
      <rPr>
        <b/>
        <sz val="11"/>
        <color theme="1"/>
        <rFont val="Calibri"/>
        <family val="2"/>
        <scheme val="minor"/>
      </rPr>
      <t xml:space="preserve"> Element in C</t>
    </r>
    <r>
      <rPr>
        <b/>
        <sz val="8"/>
        <color theme="1"/>
        <rFont val="Calibri"/>
        <family val="2"/>
        <scheme val="minor"/>
      </rPr>
      <t>bv</t>
    </r>
    <r>
      <rPr>
        <b/>
        <sz val="11"/>
        <color theme="1"/>
        <rFont val="Calibri"/>
        <family val="2"/>
        <scheme val="minor"/>
      </rPr>
      <t>B</t>
    </r>
    <r>
      <rPr>
        <b/>
        <sz val="8"/>
        <color theme="1"/>
        <rFont val="Calibri"/>
        <family val="2"/>
        <scheme val="minor"/>
      </rPr>
      <t>-1</t>
    </r>
  </si>
  <si>
    <r>
      <t>S</t>
    </r>
    <r>
      <rPr>
        <b/>
        <sz val="8"/>
        <color theme="1"/>
        <rFont val="Calibri"/>
        <family val="2"/>
        <scheme val="minor"/>
      </rPr>
      <t>2*</t>
    </r>
    <r>
      <rPr>
        <b/>
        <sz val="11"/>
        <color theme="1"/>
        <rFont val="Calibri"/>
        <family val="2"/>
        <scheme val="minor"/>
      </rPr>
      <t xml:space="preserve"> = 2</t>
    </r>
    <r>
      <rPr>
        <b/>
        <sz val="8"/>
        <color theme="1"/>
        <rFont val="Calibri"/>
        <family val="2"/>
        <scheme val="minor"/>
      </rPr>
      <t>nd</t>
    </r>
    <r>
      <rPr>
        <b/>
        <sz val="11"/>
        <color theme="1"/>
        <rFont val="Calibri"/>
        <family val="2"/>
        <scheme val="minor"/>
      </rPr>
      <t xml:space="preserve"> Element in C</t>
    </r>
    <r>
      <rPr>
        <b/>
        <sz val="8"/>
        <color theme="1"/>
        <rFont val="Calibri"/>
        <family val="2"/>
        <scheme val="minor"/>
      </rPr>
      <t>bv</t>
    </r>
    <r>
      <rPr>
        <b/>
        <sz val="11"/>
        <color theme="1"/>
        <rFont val="Calibri"/>
        <family val="2"/>
        <scheme val="minor"/>
      </rPr>
      <t>B</t>
    </r>
    <r>
      <rPr>
        <b/>
        <sz val="8"/>
        <color theme="1"/>
        <rFont val="Calibri"/>
        <family val="2"/>
        <scheme val="minor"/>
      </rPr>
      <t>-1</t>
    </r>
  </si>
  <si>
    <r>
      <t>S</t>
    </r>
    <r>
      <rPr>
        <b/>
        <sz val="8"/>
        <color theme="1"/>
        <rFont val="Calibri"/>
        <family val="2"/>
        <scheme val="minor"/>
      </rPr>
      <t>3*</t>
    </r>
    <r>
      <rPr>
        <b/>
        <sz val="11"/>
        <color theme="1"/>
        <rFont val="Calibri"/>
        <family val="2"/>
        <scheme val="minor"/>
      </rPr>
      <t xml:space="preserve"> = 3</t>
    </r>
    <r>
      <rPr>
        <b/>
        <sz val="8"/>
        <color theme="1"/>
        <rFont val="Calibri"/>
        <family val="2"/>
        <scheme val="minor"/>
      </rPr>
      <t>rd</t>
    </r>
    <r>
      <rPr>
        <b/>
        <sz val="11"/>
        <color theme="1"/>
        <rFont val="Calibri"/>
        <family val="2"/>
        <scheme val="minor"/>
      </rPr>
      <t xml:space="preserve"> Element in C</t>
    </r>
    <r>
      <rPr>
        <b/>
        <sz val="8"/>
        <color theme="1"/>
        <rFont val="Calibri"/>
        <family val="2"/>
        <scheme val="minor"/>
      </rPr>
      <t>bv</t>
    </r>
    <r>
      <rPr>
        <b/>
        <sz val="11"/>
        <color theme="1"/>
        <rFont val="Calibri"/>
        <family val="2"/>
        <scheme val="minor"/>
      </rPr>
      <t>B</t>
    </r>
    <r>
      <rPr>
        <b/>
        <sz val="8"/>
        <color theme="1"/>
        <rFont val="Calibri"/>
        <family val="2"/>
        <scheme val="minor"/>
      </rPr>
      <t>-1</t>
    </r>
  </si>
  <si>
    <r>
      <t>rhs* = C</t>
    </r>
    <r>
      <rPr>
        <b/>
        <sz val="8"/>
        <color theme="1"/>
        <rFont val="Calibri"/>
        <family val="2"/>
        <scheme val="minor"/>
      </rPr>
      <t>bv</t>
    </r>
    <r>
      <rPr>
        <b/>
        <sz val="11"/>
        <color theme="1"/>
        <rFont val="Calibri"/>
        <family val="2"/>
        <scheme val="minor"/>
      </rPr>
      <t>B</t>
    </r>
    <r>
      <rPr>
        <b/>
        <sz val="8"/>
        <color theme="1"/>
        <rFont val="Calibri"/>
        <family val="2"/>
        <scheme val="minor"/>
      </rPr>
      <t>-1</t>
    </r>
    <r>
      <rPr>
        <b/>
        <sz val="11"/>
        <color theme="1"/>
        <rFont val="Calibri"/>
        <family val="2"/>
        <scheme val="minor"/>
      </rPr>
      <t xml:space="preserve"> x b</t>
    </r>
  </si>
  <si>
    <r>
      <t>C</t>
    </r>
    <r>
      <rPr>
        <b/>
        <sz val="8"/>
        <color theme="1"/>
        <rFont val="Calibri"/>
        <family val="2"/>
        <scheme val="minor"/>
      </rPr>
      <t>2*</t>
    </r>
    <r>
      <rPr>
        <b/>
        <sz val="11"/>
        <color theme="1"/>
        <rFont val="Calibri"/>
        <family val="2"/>
        <scheme val="minor"/>
      </rPr>
      <t xml:space="preserve"> = (C</t>
    </r>
    <r>
      <rPr>
        <b/>
        <sz val="8"/>
        <color theme="1"/>
        <rFont val="Calibri"/>
        <family val="2"/>
        <scheme val="minor"/>
      </rPr>
      <t>bv</t>
    </r>
    <r>
      <rPr>
        <b/>
        <sz val="11"/>
        <color theme="1"/>
        <rFont val="Calibri"/>
        <family val="2"/>
        <scheme val="minor"/>
      </rPr>
      <t>B</t>
    </r>
    <r>
      <rPr>
        <b/>
        <sz val="8"/>
        <color theme="1"/>
        <rFont val="Calibri"/>
        <family val="2"/>
        <scheme val="minor"/>
      </rPr>
      <t>-1</t>
    </r>
    <r>
      <rPr>
        <b/>
        <sz val="11"/>
        <color theme="1"/>
        <rFont val="Calibri"/>
        <family val="2"/>
        <scheme val="minor"/>
      </rPr>
      <t xml:space="preserve"> x A</t>
    </r>
    <r>
      <rPr>
        <b/>
        <sz val="8"/>
        <color theme="1"/>
        <rFont val="Calibri"/>
        <family val="2"/>
        <scheme val="minor"/>
      </rPr>
      <t>2</t>
    </r>
    <r>
      <rPr>
        <b/>
        <sz val="11"/>
        <color theme="1"/>
        <rFont val="Calibri"/>
        <family val="2"/>
        <scheme val="minor"/>
      </rPr>
      <t>) - C</t>
    </r>
    <r>
      <rPr>
        <b/>
        <sz val="8"/>
        <color theme="1"/>
        <rFont val="Calibri"/>
        <family val="2"/>
        <scheme val="minor"/>
      </rPr>
      <t>2</t>
    </r>
  </si>
  <si>
    <r>
      <t>C</t>
    </r>
    <r>
      <rPr>
        <b/>
        <sz val="8"/>
        <color theme="1"/>
        <rFont val="Calibri"/>
        <family val="2"/>
        <scheme val="minor"/>
      </rPr>
      <t>bv</t>
    </r>
    <r>
      <rPr>
        <b/>
        <sz val="11"/>
        <color theme="1"/>
        <rFont val="Calibri"/>
        <family val="2"/>
        <scheme val="minor"/>
      </rPr>
      <t>B</t>
    </r>
    <r>
      <rPr>
        <b/>
        <sz val="8"/>
        <color theme="1"/>
        <rFont val="Calibri"/>
        <family val="2"/>
        <scheme val="minor"/>
      </rPr>
      <t>-1</t>
    </r>
  </si>
  <si>
    <r>
      <t>C</t>
    </r>
    <r>
      <rPr>
        <b/>
        <sz val="8"/>
        <color theme="1"/>
        <rFont val="Calibri"/>
        <family val="2"/>
        <scheme val="minor"/>
      </rPr>
      <t>bv</t>
    </r>
  </si>
  <si>
    <r>
      <t>C</t>
    </r>
    <r>
      <rPr>
        <b/>
        <sz val="8"/>
        <color theme="1"/>
        <rFont val="Calibri"/>
        <family val="2"/>
        <scheme val="minor"/>
      </rPr>
      <t>nbv</t>
    </r>
  </si>
  <si>
    <r>
      <t>X</t>
    </r>
    <r>
      <rPr>
        <b/>
        <sz val="8"/>
        <color theme="1"/>
        <rFont val="Calibri"/>
        <family val="2"/>
        <scheme val="minor"/>
      </rPr>
      <t>bv</t>
    </r>
  </si>
  <si>
    <r>
      <t>X</t>
    </r>
    <r>
      <rPr>
        <b/>
        <sz val="8"/>
        <color theme="1"/>
        <rFont val="Calibri"/>
        <family val="2"/>
        <scheme val="minor"/>
      </rPr>
      <t>nb</t>
    </r>
  </si>
  <si>
    <t>y1</t>
  </si>
  <si>
    <t>y2</t>
  </si>
  <si>
    <t>y3</t>
  </si>
  <si>
    <t>Cell. Ref.</t>
  </si>
  <si>
    <t>Const.</t>
  </si>
  <si>
    <t>Obj. Func.</t>
  </si>
  <si>
    <t>Dec. Var</t>
  </si>
  <si>
    <t>Duality Gap</t>
  </si>
  <si>
    <t>Max z =</t>
  </si>
  <si>
    <t>Min w =</t>
  </si>
  <si>
    <t>Duality Gap =</t>
  </si>
  <si>
    <t>\</t>
  </si>
  <si>
    <t>Stong Duality</t>
  </si>
  <si>
    <t>Economic Interpretation</t>
  </si>
  <si>
    <r>
      <t xml:space="preserve">Optimal Solution </t>
    </r>
    <r>
      <rPr>
        <sz val="8"/>
        <color theme="1"/>
        <rFont val="Calibri"/>
        <family val="2"/>
        <scheme val="minor"/>
      </rPr>
      <t>(Dual)</t>
    </r>
  </si>
  <si>
    <r>
      <t xml:space="preserve">b1 </t>
    </r>
    <r>
      <rPr>
        <sz val="8"/>
        <color theme="1"/>
        <rFont val="Calibri"/>
        <family val="2"/>
        <scheme val="minor"/>
      </rPr>
      <t>(Dual)</t>
    </r>
    <r>
      <rPr>
        <sz val="11"/>
        <color theme="1"/>
        <rFont val="Calibri"/>
        <family val="2"/>
        <scheme val="minor"/>
      </rPr>
      <t xml:space="preserve"> with Shadow Prices</t>
    </r>
    <r>
      <rPr>
        <sz val="8"/>
        <color theme="1"/>
        <rFont val="Calibri"/>
        <family val="2"/>
        <scheme val="minor"/>
      </rPr>
      <t xml:space="preserve"> (Primary)</t>
    </r>
  </si>
  <si>
    <r>
      <t xml:space="preserve">b2 </t>
    </r>
    <r>
      <rPr>
        <sz val="8"/>
        <color theme="1"/>
        <rFont val="Calibri"/>
        <family val="2"/>
        <scheme val="minor"/>
      </rPr>
      <t>(Dual)</t>
    </r>
    <r>
      <rPr>
        <sz val="11"/>
        <color theme="1"/>
        <rFont val="Calibri"/>
        <family val="2"/>
        <scheme val="minor"/>
      </rPr>
      <t xml:space="preserve"> with Shadow Prices</t>
    </r>
    <r>
      <rPr>
        <sz val="8"/>
        <color theme="1"/>
        <rFont val="Calibri"/>
        <family val="2"/>
        <scheme val="minor"/>
      </rPr>
      <t xml:space="preserve"> (Primary)</t>
    </r>
  </si>
  <si>
    <t>1(0)</t>
  </si>
  <si>
    <t>Soldiers</t>
  </si>
  <si>
    <t>Trains</t>
  </si>
  <si>
    <t>Carpentry</t>
  </si>
  <si>
    <t>Finishing</t>
  </si>
  <si>
    <t>Demand</t>
  </si>
  <si>
    <t>Total Resource Cost of Santa's Workshop</t>
  </si>
  <si>
    <t>2(1)</t>
  </si>
  <si>
    <t>1(1)</t>
  </si>
  <si>
    <t>0(0)</t>
  </si>
  <si>
    <t>Shadow Prices (Primary)</t>
  </si>
  <si>
    <r>
      <t xml:space="preserve">Shadow Prices </t>
    </r>
    <r>
      <rPr>
        <sz val="8"/>
        <color theme="1"/>
        <rFont val="Calibri"/>
        <family val="2"/>
        <scheme val="minor"/>
      </rPr>
      <t>(Primary)</t>
    </r>
  </si>
  <si>
    <r>
      <t xml:space="preserve">CbvB-1 </t>
    </r>
    <r>
      <rPr>
        <sz val="8"/>
        <color theme="1"/>
        <rFont val="Calibri"/>
        <family val="2"/>
        <scheme val="minor"/>
      </rPr>
      <t>(Primary)</t>
    </r>
  </si>
  <si>
    <r>
      <t xml:space="preserve">Shadow Price </t>
    </r>
    <r>
      <rPr>
        <sz val="8"/>
        <color theme="1"/>
        <rFont val="Calibri"/>
        <family val="2"/>
        <scheme val="minor"/>
      </rPr>
      <t>(Finishing)</t>
    </r>
    <r>
      <rPr>
        <sz val="11"/>
        <color theme="1"/>
        <rFont val="Calibri"/>
        <family val="2"/>
        <scheme val="minor"/>
      </rPr>
      <t xml:space="preserve"> </t>
    </r>
    <r>
      <rPr>
        <sz val="8"/>
        <color theme="1"/>
        <rFont val="Calibri"/>
        <family val="2"/>
        <scheme val="minor"/>
      </rPr>
      <t>(Primary)</t>
    </r>
  </si>
  <si>
    <t>Shadow Prices (Dual)</t>
  </si>
  <si>
    <r>
      <t xml:space="preserve">Shadow Prices </t>
    </r>
    <r>
      <rPr>
        <sz val="8"/>
        <color theme="1"/>
        <rFont val="Calibri"/>
        <family val="2"/>
        <scheme val="minor"/>
      </rPr>
      <t>(Dual)</t>
    </r>
  </si>
  <si>
    <r>
      <t xml:space="preserve">CbvB-1 </t>
    </r>
    <r>
      <rPr>
        <sz val="8"/>
        <color theme="1"/>
        <rFont val="Calibri"/>
        <family val="2"/>
        <scheme val="minor"/>
      </rPr>
      <t>(Dual)</t>
    </r>
  </si>
  <si>
    <t>Shadow Prices Relationship</t>
  </si>
  <si>
    <r>
      <t xml:space="preserve">Optimal Solution </t>
    </r>
    <r>
      <rPr>
        <sz val="8"/>
        <color theme="1"/>
        <rFont val="Calibri"/>
        <family val="2"/>
        <scheme val="minor"/>
      </rPr>
      <t>(Primary)</t>
    </r>
  </si>
  <si>
    <r>
      <t xml:space="preserve">Shadow Price </t>
    </r>
    <r>
      <rPr>
        <sz val="8"/>
        <color theme="1"/>
        <rFont val="Calibri"/>
        <family val="2"/>
        <scheme val="minor"/>
      </rPr>
      <t>(Capentry)</t>
    </r>
    <r>
      <rPr>
        <sz val="11"/>
        <color theme="1"/>
        <rFont val="Calibri"/>
        <family val="2"/>
        <scheme val="minor"/>
      </rPr>
      <t xml:space="preserve"> </t>
    </r>
    <r>
      <rPr>
        <sz val="8"/>
        <color theme="1"/>
        <rFont val="Calibri"/>
        <family val="2"/>
        <scheme val="minor"/>
      </rPr>
      <t>(Primary)</t>
    </r>
  </si>
  <si>
    <r>
      <t xml:space="preserve">Shadow Price </t>
    </r>
    <r>
      <rPr>
        <sz val="8"/>
        <color theme="1"/>
        <rFont val="Calibri"/>
        <family val="2"/>
        <scheme val="minor"/>
      </rPr>
      <t>(Demand)</t>
    </r>
    <r>
      <rPr>
        <sz val="11"/>
        <color theme="1"/>
        <rFont val="Calibri"/>
        <family val="2"/>
        <scheme val="minor"/>
      </rPr>
      <t xml:space="preserve"> </t>
    </r>
    <r>
      <rPr>
        <sz val="8"/>
        <color theme="1"/>
        <rFont val="Calibri"/>
        <family val="2"/>
        <scheme val="minor"/>
      </rPr>
      <t>(Primary)</t>
    </r>
  </si>
  <si>
    <r>
      <t xml:space="preserve">Shadow Price </t>
    </r>
    <r>
      <rPr>
        <sz val="8"/>
        <color theme="1"/>
        <rFont val="Calibri"/>
        <family val="2"/>
        <scheme val="minor"/>
      </rPr>
      <t>(Soldiers)</t>
    </r>
    <r>
      <rPr>
        <sz val="11"/>
        <color theme="1"/>
        <rFont val="Calibri"/>
        <family val="2"/>
        <scheme val="minor"/>
      </rPr>
      <t xml:space="preserve"> </t>
    </r>
    <r>
      <rPr>
        <sz val="8"/>
        <color theme="1"/>
        <rFont val="Calibri"/>
        <family val="2"/>
        <scheme val="minor"/>
      </rPr>
      <t>(Dual)</t>
    </r>
  </si>
  <si>
    <r>
      <t xml:space="preserve">Shadow Price </t>
    </r>
    <r>
      <rPr>
        <sz val="8"/>
        <color theme="1"/>
        <rFont val="Calibri"/>
        <family val="2"/>
        <scheme val="minor"/>
      </rPr>
      <t>(Trains)</t>
    </r>
    <r>
      <rPr>
        <sz val="11"/>
        <color theme="1"/>
        <rFont val="Calibri"/>
        <family val="2"/>
        <scheme val="minor"/>
      </rPr>
      <t xml:space="preserve"> </t>
    </r>
    <r>
      <rPr>
        <sz val="8"/>
        <color theme="1"/>
        <rFont val="Calibri"/>
        <family val="2"/>
        <scheme val="minor"/>
      </rPr>
      <t>(Dual)</t>
    </r>
  </si>
  <si>
    <t>T-1</t>
  </si>
  <si>
    <r>
      <t>C</t>
    </r>
    <r>
      <rPr>
        <b/>
        <sz val="8"/>
        <color theme="1"/>
        <rFont val="Calibri"/>
        <family val="2"/>
        <scheme val="minor"/>
      </rPr>
      <t>bvB</t>
    </r>
    <r>
      <rPr>
        <b/>
        <sz val="11"/>
        <color theme="1"/>
        <rFont val="Calibri"/>
        <family val="2"/>
        <scheme val="minor"/>
      </rPr>
      <t>-1</t>
    </r>
  </si>
  <si>
    <r>
      <t>X</t>
    </r>
    <r>
      <rPr>
        <b/>
        <sz val="8"/>
        <color theme="1"/>
        <rFont val="Calibri"/>
        <family val="2"/>
        <scheme val="minor"/>
      </rPr>
      <t>nbv</t>
    </r>
  </si>
  <si>
    <t>Price Out</t>
  </si>
  <si>
    <t>A1</t>
  </si>
  <si>
    <t>T-2</t>
  </si>
  <si>
    <t>I</t>
  </si>
  <si>
    <t>A1*</t>
  </si>
  <si>
    <t>E</t>
  </si>
  <si>
    <t>A2</t>
  </si>
  <si>
    <t>T-3</t>
  </si>
  <si>
    <t>A2*</t>
  </si>
  <si>
    <t>A5</t>
  </si>
  <si>
    <t>T-*</t>
  </si>
  <si>
    <t>A5*</t>
  </si>
  <si>
    <r>
      <t>Resource Cost</t>
    </r>
    <r>
      <rPr>
        <sz val="8"/>
        <color theme="1"/>
        <rFont val="Calibri"/>
        <family val="2"/>
        <scheme val="minor"/>
      </rPr>
      <t xml:space="preserve"> (Soldiers) </t>
    </r>
  </si>
  <si>
    <r>
      <t>Resource Cost</t>
    </r>
    <r>
      <rPr>
        <sz val="8"/>
        <color theme="1"/>
        <rFont val="Calibri"/>
        <family val="2"/>
        <scheme val="minor"/>
      </rPr>
      <t xml:space="preserve"> (Trains) </t>
    </r>
  </si>
  <si>
    <t>Problem</t>
  </si>
  <si>
    <t>Santa’s Workshop employs elves to manufacture two types of wooden toys: soldiers and trains.  A soldier sells for R27 and uses R10 worth of raw materials.  Each soldier that is manufactured increases Santa’s variable labour and overhead costs by R14.  A train sells for R21 and uses R9 worth of raw materials.  Each train built increases Santa’s variable labour and overhead costs by R10.  The manufacture of wooden soldiers and trains requires two types of skilled labour: carpentry and finishing.  A soldier requires 2 hours of finishing labour and 1 hour of carpentry labour.  A train requires 1 hour of finishing and 1 hour of carpentry labour.  Each week, Santa can obtain all the needed raw material from the forests of Lapland, but only 100 finishing hours and 80 carpentry hours from his elves.  Demand for trains is unlimited, but at most 40 soldiers are bought each week.  Santa wants to maximise weekly profit (revenues − costs).  Formulate a mathematical model of Santa’s situation that can be used to maximise Santa’s weekly profit.</t>
  </si>
  <si>
    <t>Range Soldiers</t>
  </si>
  <si>
    <t xml:space="preserve">\ </t>
  </si>
  <si>
    <t>Binding Constraints = b1, b2</t>
  </si>
  <si>
    <t>a:b=c:d</t>
  </si>
  <si>
    <t>a=b.c/d</t>
  </si>
  <si>
    <t>if</t>
  </si>
  <si>
    <t>and</t>
  </si>
  <si>
    <t>then</t>
  </si>
  <si>
    <t>b=a.d/c</t>
  </si>
  <si>
    <t>c1:2=2:1</t>
  </si>
  <si>
    <t>c1=4</t>
  </si>
  <si>
    <t>c1:2=1:1</t>
  </si>
  <si>
    <t>c1=2</t>
  </si>
  <si>
    <t>c1</t>
  </si>
  <si>
    <t>Maximum Decrease of c1 ratio = b1 ratio</t>
  </si>
  <si>
    <t>Maximum Increase of c1 ratio = b2 ratio</t>
  </si>
  <si>
    <t>D</t>
  </si>
  <si>
    <t>Range Trains</t>
  </si>
  <si>
    <t>Maximum Decrease of c2 ratio = b2 ratio</t>
  </si>
  <si>
    <t>Maximum Increase of c2 ratio = b1 ratio</t>
  </si>
  <si>
    <t>c2</t>
  </si>
  <si>
    <t>3:c2=1:1</t>
  </si>
  <si>
    <t>3:c2=2:1</t>
  </si>
  <si>
    <t>c2=1.5</t>
  </si>
  <si>
    <t>c2=3</t>
  </si>
  <si>
    <t>Range Carpentry</t>
  </si>
  <si>
    <t>Maximum Increase of b1 = +20</t>
  </si>
  <si>
    <t>Maximum Decrease of b1 = -20</t>
  </si>
  <si>
    <t>b1</t>
  </si>
  <si>
    <t>Range Finishing</t>
  </si>
  <si>
    <t>Maximum Increase of b2 = +20</t>
  </si>
  <si>
    <t>Maximum Decrease of b2 = -20</t>
  </si>
  <si>
    <t>b2</t>
  </si>
  <si>
    <t>Range Demand</t>
  </si>
  <si>
    <r>
      <t xml:space="preserve">Maximum Increase of b3 = </t>
    </r>
    <r>
      <rPr>
        <sz val="11"/>
        <color theme="1"/>
        <rFont val="Calibri"/>
        <family val="2"/>
      </rPr>
      <t>∞</t>
    </r>
  </si>
  <si>
    <t>Maximum Decrease of b3 = -20</t>
  </si>
  <si>
    <t>∞</t>
  </si>
  <si>
    <t>b3</t>
  </si>
  <si>
    <t>-&gt;</t>
  </si>
  <si>
    <t>Product Form</t>
  </si>
  <si>
    <t>None</t>
  </si>
  <si>
    <t>Revised Primal Simplex Algorithm</t>
  </si>
  <si>
    <t>Primary Linear Programming Model</t>
  </si>
  <si>
    <t>Primary Solver Solution</t>
  </si>
  <si>
    <t>Dual Linear Programming Model</t>
  </si>
  <si>
    <t>Dual Solver Solution</t>
  </si>
  <si>
    <t>Graphical Solution</t>
  </si>
  <si>
    <t>Z</t>
  </si>
  <si>
    <t>Graphical Sensitivity Analysis</t>
  </si>
  <si>
    <t>Canonical Form: Mathematical Preliminaries</t>
  </si>
  <si>
    <t>(z)</t>
  </si>
  <si>
    <r>
      <t>x</t>
    </r>
    <r>
      <rPr>
        <sz val="8"/>
        <color theme="1"/>
        <rFont val="Calibri"/>
        <family val="2"/>
        <scheme val="minor"/>
      </rPr>
      <t>2</t>
    </r>
  </si>
  <si>
    <r>
      <t>s</t>
    </r>
    <r>
      <rPr>
        <sz val="8"/>
        <color theme="1"/>
        <rFont val="Calibri"/>
        <family val="2"/>
        <scheme val="minor"/>
      </rPr>
      <t>1</t>
    </r>
  </si>
  <si>
    <r>
      <t>2x</t>
    </r>
    <r>
      <rPr>
        <sz val="8"/>
        <color theme="1"/>
        <rFont val="Calibri"/>
        <family val="2"/>
        <scheme val="minor"/>
      </rPr>
      <t>2</t>
    </r>
  </si>
  <si>
    <r>
      <t>s</t>
    </r>
    <r>
      <rPr>
        <sz val="8"/>
        <color theme="1"/>
        <rFont val="Calibri"/>
        <family val="2"/>
        <scheme val="minor"/>
      </rPr>
      <t>2</t>
    </r>
  </si>
  <si>
    <r>
      <t>2x</t>
    </r>
    <r>
      <rPr>
        <sz val="8"/>
        <color theme="1"/>
        <rFont val="Calibri"/>
        <family val="2"/>
        <scheme val="minor"/>
      </rPr>
      <t>1</t>
    </r>
  </si>
  <si>
    <r>
      <t>s</t>
    </r>
    <r>
      <rPr>
        <sz val="8"/>
        <color theme="1"/>
        <rFont val="Calibri"/>
        <family val="2"/>
        <scheme val="minor"/>
      </rPr>
      <t>3</t>
    </r>
  </si>
  <si>
    <r>
      <t>3x</t>
    </r>
    <r>
      <rPr>
        <sz val="8"/>
        <color theme="1"/>
        <rFont val="Calibri"/>
        <family val="2"/>
        <scheme val="minor"/>
      </rPr>
      <t>1</t>
    </r>
  </si>
  <si>
    <r>
      <t>x</t>
    </r>
    <r>
      <rPr>
        <sz val="8"/>
        <color theme="1"/>
        <rFont val="Calibri"/>
        <family val="2"/>
        <scheme val="minor"/>
      </rPr>
      <t>1</t>
    </r>
  </si>
  <si>
    <t>z</t>
  </si>
  <si>
    <r>
      <t>x</t>
    </r>
    <r>
      <rPr>
        <b/>
        <sz val="8"/>
        <color theme="1"/>
        <rFont val="Calibri"/>
        <family val="2"/>
        <scheme val="minor"/>
      </rPr>
      <t>1</t>
    </r>
  </si>
  <si>
    <r>
      <t>x</t>
    </r>
    <r>
      <rPr>
        <b/>
        <sz val="8"/>
        <color theme="1"/>
        <rFont val="Calibri"/>
        <family val="2"/>
        <scheme val="minor"/>
      </rPr>
      <t>2</t>
    </r>
  </si>
  <si>
    <r>
      <t>s</t>
    </r>
    <r>
      <rPr>
        <b/>
        <sz val="8"/>
        <color theme="1"/>
        <rFont val="Calibri"/>
        <family val="2"/>
        <scheme val="minor"/>
      </rPr>
      <t>1</t>
    </r>
  </si>
  <si>
    <r>
      <t>s</t>
    </r>
    <r>
      <rPr>
        <b/>
        <sz val="8"/>
        <color theme="1"/>
        <rFont val="Calibri"/>
        <family val="2"/>
        <scheme val="minor"/>
      </rPr>
      <t>2</t>
    </r>
  </si>
  <si>
    <r>
      <t>s</t>
    </r>
    <r>
      <rPr>
        <b/>
        <sz val="8"/>
        <color theme="1"/>
        <rFont val="Calibri"/>
        <family val="2"/>
        <scheme val="minor"/>
      </rPr>
      <t>3</t>
    </r>
  </si>
  <si>
    <t>Primal Simplex Algorithm</t>
  </si>
  <si>
    <t>θ</t>
  </si>
  <si>
    <t>Canonical Form: Revised Primal Simplex Algorithm</t>
  </si>
  <si>
    <t>Canonical Form: Primal Simplex Algorithm</t>
  </si>
  <si>
    <t>Primal Simplex Algorithm Graphical: T-2</t>
  </si>
  <si>
    <t>Primal Simplex Algorithm Graphical: T-3</t>
  </si>
  <si>
    <t>Primal Simplex Algorithm Graphical: T-4*</t>
  </si>
  <si>
    <t>t-i</t>
  </si>
  <si>
    <t>t-2</t>
  </si>
  <si>
    <t>t-3</t>
  </si>
  <si>
    <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</si>
</sst>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R&quot;\ #,##0;[Red]&quot;R&quot;\ \-#,##0"/>
  </numFmts>
  <fonts count="14" x14ac:knownFonts="1">
    <font>
      <sz val="11"/>
      <color theme="1"/>
      <name val="Calibri"/>
      <family val="2"/>
      <scheme val="minor"/>
    </font>
    <font>
      <b/>
      <sz val="11"/>
      <color theme="1"/>
      <name val="Calibri"/>
      <family val="2"/>
      <scheme val="minor"/>
    </font>
    <font>
      <b/>
      <sz val="11"/>
      <color indexed="18"/>
      <name val="Calibri"/>
      <family val="2"/>
      <scheme val="minor"/>
    </font>
    <font>
      <sz val="6"/>
      <color theme="1"/>
      <name val="Calibri"/>
      <family val="2"/>
      <scheme val="minor"/>
    </font>
    <font>
      <sz val="11"/>
      <color theme="1"/>
      <name val="Calibri"/>
      <family val="2"/>
    </font>
    <font>
      <b/>
      <sz val="8"/>
      <color theme="1"/>
      <name val="Calibri"/>
      <family val="2"/>
      <scheme val="minor"/>
    </font>
    <font>
      <b/>
      <sz val="11"/>
      <color theme="1"/>
      <name val="Symbol"/>
      <family val="1"/>
      <charset val="2"/>
    </font>
    <font>
      <sz val="8"/>
      <color theme="1"/>
      <name val="Calibri"/>
      <family val="2"/>
      <scheme val="minor"/>
    </font>
    <font>
      <i/>
      <sz val="11"/>
      <color theme="1"/>
      <name val="Calibri"/>
      <family val="2"/>
      <scheme val="minor"/>
    </font>
    <font>
      <sz val="11"/>
      <color theme="1"/>
      <name val="Symbol"/>
      <family val="1"/>
      <charset val="2"/>
    </font>
    <font>
      <b/>
      <sz val="11"/>
      <color indexed="81"/>
      <name val="Tahoma"/>
      <family val="2"/>
    </font>
    <font>
      <sz val="11"/>
      <color indexed="81"/>
      <name val="Tahoma"/>
      <family val="2"/>
    </font>
    <font>
      <b/>
      <sz val="11"/>
      <color theme="1"/>
      <name val="Calibri"/>
      <family val="2"/>
    </font>
    <font>
      <i/>
      <sz val="11"/>
      <color indexed="81"/>
      <name val="Tahoma"/>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bottom/>
      <diagonal/>
    </border>
  </borders>
  <cellStyleXfs count="1">
    <xf numFmtId="0" fontId="0" fillId="0" borderId="0"/>
  </cellStyleXfs>
  <cellXfs count="141">
    <xf numFmtId="0" fontId="0" fillId="0" borderId="0" xfId="0"/>
    <xf numFmtId="0" fontId="0" fillId="0" borderId="0" xfId="0" applyNumberFormat="1"/>
    <xf numFmtId="0" fontId="1" fillId="0" borderId="2" xfId="0" applyNumberFormat="1" applyFont="1" applyFill="1" applyBorder="1"/>
    <xf numFmtId="0" fontId="1" fillId="0" borderId="3" xfId="0" applyNumberFormat="1" applyFont="1" applyFill="1" applyBorder="1"/>
    <xf numFmtId="0" fontId="1" fillId="0" borderId="4" xfId="0" applyNumberFormat="1" applyFont="1" applyBorder="1"/>
    <xf numFmtId="0" fontId="0" fillId="0" borderId="0" xfId="0" applyNumberFormat="1" applyBorder="1"/>
    <xf numFmtId="0" fontId="0" fillId="0" borderId="5" xfId="0" applyNumberFormat="1" applyBorder="1"/>
    <xf numFmtId="0" fontId="0" fillId="3" borderId="0" xfId="0" applyNumberFormat="1" applyFill="1" applyBorder="1"/>
    <xf numFmtId="0" fontId="0" fillId="0" borderId="4" xfId="0" applyNumberFormat="1" applyBorder="1"/>
    <xf numFmtId="0" fontId="1" fillId="2" borderId="4" xfId="0" applyNumberFormat="1" applyFont="1" applyFill="1" applyBorder="1"/>
    <xf numFmtId="0" fontId="1" fillId="3" borderId="6" xfId="0" applyNumberFormat="1" applyFont="1" applyFill="1" applyBorder="1"/>
    <xf numFmtId="0" fontId="0" fillId="3" borderId="7" xfId="0" applyNumberFormat="1" applyFill="1" applyBorder="1"/>
    <xf numFmtId="0" fontId="0" fillId="3" borderId="8" xfId="0" applyNumberFormat="1" applyFill="1" applyBorder="1"/>
    <xf numFmtId="0" fontId="1" fillId="0" borderId="6" xfId="0" applyNumberFormat="1" applyFont="1" applyBorder="1"/>
    <xf numFmtId="0" fontId="0" fillId="0" borderId="7" xfId="0" applyNumberFormat="1" applyBorder="1"/>
    <xf numFmtId="0" fontId="0" fillId="0" borderId="8" xfId="0" applyNumberFormat="1" applyBorder="1"/>
    <xf numFmtId="0" fontId="1" fillId="3" borderId="4" xfId="0" applyNumberFormat="1" applyFont="1" applyFill="1" applyBorder="1"/>
    <xf numFmtId="0" fontId="0" fillId="3" borderId="5" xfId="0" applyNumberFormat="1" applyFill="1" applyBorder="1"/>
    <xf numFmtId="0" fontId="0" fillId="4" borderId="0" xfId="0" applyNumberFormat="1" applyFill="1" applyBorder="1"/>
    <xf numFmtId="0" fontId="0" fillId="4" borderId="7" xfId="0" applyNumberFormat="1" applyFill="1" applyBorder="1"/>
    <xf numFmtId="0" fontId="0" fillId="0" borderId="0" xfId="0" applyNumberFormat="1" applyFill="1" applyBorder="1"/>
    <xf numFmtId="0" fontId="1" fillId="0" borderId="0" xfId="0" applyFont="1"/>
    <xf numFmtId="0" fontId="0" fillId="0" borderId="11" xfId="0" applyFill="1" applyBorder="1" applyAlignment="1"/>
    <xf numFmtId="0" fontId="0" fillId="0" borderId="12" xfId="0" applyFill="1" applyBorder="1" applyAlignment="1"/>
    <xf numFmtId="0" fontId="2" fillId="0" borderId="9" xfId="0" applyFont="1" applyFill="1" applyBorder="1" applyAlignment="1">
      <alignment horizontal="center"/>
    </xf>
    <xf numFmtId="0" fontId="2" fillId="0" borderId="10" xfId="0" applyFont="1" applyFill="1" applyBorder="1" applyAlignment="1">
      <alignment horizontal="center"/>
    </xf>
    <xf numFmtId="0" fontId="4" fillId="0" borderId="0" xfId="0" applyNumberFormat="1" applyFont="1" applyBorder="1"/>
    <xf numFmtId="0" fontId="0" fillId="0" borderId="0" xfId="0" applyBorder="1"/>
    <xf numFmtId="0" fontId="0" fillId="0" borderId="5" xfId="0" applyBorder="1"/>
    <xf numFmtId="0" fontId="1" fillId="0" borderId="4" xfId="0" applyNumberFormat="1" applyFont="1" applyFill="1" applyBorder="1"/>
    <xf numFmtId="0" fontId="1" fillId="0" borderId="4" xfId="0" applyFont="1" applyBorder="1"/>
    <xf numFmtId="0" fontId="0" fillId="0" borderId="4" xfId="0" applyBorder="1"/>
    <xf numFmtId="0" fontId="0" fillId="0" borderId="6" xfId="0" applyBorder="1"/>
    <xf numFmtId="0" fontId="4" fillId="0" borderId="7" xfId="0" applyFont="1" applyBorder="1"/>
    <xf numFmtId="0" fontId="0" fillId="0" borderId="7" xfId="0" applyBorder="1"/>
    <xf numFmtId="0" fontId="0" fillId="0" borderId="8" xfId="0" applyBorder="1"/>
    <xf numFmtId="0" fontId="4" fillId="0" borderId="0" xfId="0" applyFont="1" applyBorder="1"/>
    <xf numFmtId="0" fontId="0" fillId="0" borderId="5" xfId="0" applyNumberFormat="1" applyFill="1" applyBorder="1"/>
    <xf numFmtId="0" fontId="1" fillId="0" borderId="6" xfId="0" applyNumberFormat="1" applyFont="1" applyFill="1" applyBorder="1"/>
    <xf numFmtId="0" fontId="0" fillId="0" borderId="7" xfId="0" applyNumberFormat="1" applyFill="1" applyBorder="1"/>
    <xf numFmtId="0" fontId="0" fillId="0" borderId="8" xfId="0" applyNumberFormat="1" applyFill="1" applyBorder="1"/>
    <xf numFmtId="0" fontId="1" fillId="0" borderId="0" xfId="0" applyFont="1" applyAlignment="1"/>
    <xf numFmtId="0" fontId="0" fillId="0" borderId="0" xfId="0" applyFill="1"/>
    <xf numFmtId="0" fontId="1" fillId="2" borderId="1" xfId="0" applyNumberFormat="1" applyFont="1" applyFill="1" applyBorder="1"/>
    <xf numFmtId="0" fontId="1" fillId="0" borderId="0" xfId="0" applyFont="1" applyBorder="1"/>
    <xf numFmtId="0" fontId="1" fillId="0" borderId="5" xfId="0" applyFont="1" applyBorder="1"/>
    <xf numFmtId="0" fontId="1" fillId="0" borderId="6" xfId="0" applyFont="1" applyBorder="1"/>
    <xf numFmtId="0" fontId="1" fillId="0" borderId="4" xfId="0" applyFont="1" applyFill="1" applyBorder="1"/>
    <xf numFmtId="0" fontId="6" fillId="0" borderId="6" xfId="0" applyFont="1" applyBorder="1"/>
    <xf numFmtId="6" fontId="0" fillId="0" borderId="0" xfId="0" applyNumberFormat="1" applyBorder="1"/>
    <xf numFmtId="0" fontId="1" fillId="0" borderId="4" xfId="0" applyFont="1" applyFill="1" applyBorder="1" applyAlignment="1">
      <alignment horizontal="center"/>
    </xf>
    <xf numFmtId="0" fontId="1" fillId="0" borderId="0" xfId="0" applyFont="1" applyFill="1" applyBorder="1" applyAlignment="1">
      <alignment horizontal="center"/>
    </xf>
    <xf numFmtId="0" fontId="8" fillId="0" borderId="0" xfId="0" applyFont="1" applyFill="1" applyBorder="1" applyAlignment="1">
      <alignment horizontal="center" textRotation="90"/>
    </xf>
    <xf numFmtId="0" fontId="0" fillId="0" borderId="5" xfId="0" applyFill="1" applyBorder="1"/>
    <xf numFmtId="0" fontId="8" fillId="0" borderId="5" xfId="0" applyNumberFormat="1" applyFont="1" applyFill="1" applyBorder="1"/>
    <xf numFmtId="0" fontId="8" fillId="0" borderId="5" xfId="0" applyFont="1" applyBorder="1"/>
    <xf numFmtId="0" fontId="0" fillId="0" borderId="0" xfId="0" applyBorder="1" applyAlignment="1">
      <alignment horizontal="center"/>
    </xf>
    <xf numFmtId="0" fontId="0" fillId="0" borderId="7" xfId="0" applyFill="1" applyBorder="1"/>
    <xf numFmtId="6" fontId="0" fillId="0" borderId="7" xfId="0" applyNumberFormat="1" applyBorder="1"/>
    <xf numFmtId="0" fontId="0" fillId="0" borderId="0" xfId="0" applyNumberFormat="1" applyBorder="1" applyAlignment="1">
      <alignment horizontal="center"/>
    </xf>
    <xf numFmtId="0" fontId="0" fillId="0" borderId="0" xfId="0" applyNumberFormat="1" applyFill="1" applyBorder="1" applyAlignment="1">
      <alignment horizontal="center"/>
    </xf>
    <xf numFmtId="0" fontId="0" fillId="0" borderId="5" xfId="0" applyBorder="1" applyAlignment="1">
      <alignment horizontal="center"/>
    </xf>
    <xf numFmtId="0" fontId="4" fillId="0" borderId="0" xfId="0" applyFont="1" applyBorder="1" applyAlignment="1">
      <alignment horizontal="center"/>
    </xf>
    <xf numFmtId="0" fontId="8" fillId="0" borderId="5" xfId="0" applyNumberFormat="1" applyFont="1" applyFill="1" applyBorder="1" applyAlignment="1">
      <alignment horizontal="center"/>
    </xf>
    <xf numFmtId="0" fontId="8" fillId="0" borderId="5" xfId="0" applyFont="1" applyBorder="1" applyAlignment="1">
      <alignment horizontal="center"/>
    </xf>
    <xf numFmtId="0" fontId="0" fillId="3" borderId="0" xfId="0" applyFill="1" applyBorder="1"/>
    <xf numFmtId="0" fontId="0" fillId="0" borderId="0" xfId="0" applyFill="1" applyBorder="1"/>
    <xf numFmtId="0" fontId="9" fillId="0" borderId="0" xfId="0" applyFont="1" applyBorder="1"/>
    <xf numFmtId="0" fontId="0" fillId="4" borderId="0" xfId="0" applyFill="1" applyBorder="1"/>
    <xf numFmtId="0" fontId="4" fillId="4" borderId="0" xfId="0" applyFont="1" applyFill="1" applyBorder="1"/>
    <xf numFmtId="0" fontId="9" fillId="4" borderId="0" xfId="0" applyFont="1" applyFill="1" applyBorder="1"/>
    <xf numFmtId="0" fontId="4" fillId="4" borderId="0" xfId="0" applyFont="1" applyFill="1" applyBorder="1" applyAlignment="1">
      <alignment horizontal="center"/>
    </xf>
    <xf numFmtId="0" fontId="0" fillId="0" borderId="5" xfId="0" applyBorder="1" applyAlignment="1"/>
    <xf numFmtId="0" fontId="1" fillId="0" borderId="0" xfId="0" applyFont="1" applyFill="1" applyBorder="1" applyAlignment="1"/>
    <xf numFmtId="0" fontId="0" fillId="4" borderId="0" xfId="0" applyFill="1" applyBorder="1" applyAlignment="1">
      <alignment horizontal="left"/>
    </xf>
    <xf numFmtId="0" fontId="4" fillId="4" borderId="0" xfId="0" applyFont="1" applyFill="1" applyBorder="1" applyAlignment="1">
      <alignment horizontal="left"/>
    </xf>
    <xf numFmtId="0" fontId="0" fillId="3" borderId="8" xfId="0" applyFill="1" applyBorder="1"/>
    <xf numFmtId="0" fontId="0" fillId="3" borderId="7" xfId="0" applyFill="1" applyBorder="1"/>
    <xf numFmtId="0" fontId="0" fillId="3" borderId="15" xfId="0" applyFont="1" applyFill="1" applyBorder="1"/>
    <xf numFmtId="0" fontId="0" fillId="3" borderId="16" xfId="0" quotePrefix="1" applyFont="1" applyFill="1" applyBorder="1"/>
    <xf numFmtId="0" fontId="0" fillId="3" borderId="17" xfId="0" applyFont="1" applyFill="1" applyBorder="1"/>
    <xf numFmtId="0" fontId="1" fillId="0" borderId="2" xfId="0" applyFont="1" applyBorder="1"/>
    <xf numFmtId="0" fontId="0" fillId="3" borderId="2" xfId="0" applyFill="1" applyBorder="1"/>
    <xf numFmtId="0" fontId="0" fillId="0" borderId="1" xfId="0" applyBorder="1"/>
    <xf numFmtId="0" fontId="0" fillId="0" borderId="6" xfId="0" applyNumberFormat="1" applyFill="1" applyBorder="1"/>
    <xf numFmtId="0" fontId="0" fillId="0" borderId="4" xfId="0" applyNumberFormat="1" applyFill="1" applyBorder="1"/>
    <xf numFmtId="0" fontId="0" fillId="0" borderId="2" xfId="0" applyFill="1" applyBorder="1"/>
    <xf numFmtId="0" fontId="1" fillId="0" borderId="13" xfId="0" applyFont="1" applyBorder="1"/>
    <xf numFmtId="0" fontId="0" fillId="0" borderId="18" xfId="0" applyBorder="1"/>
    <xf numFmtId="0" fontId="0" fillId="0" borderId="14" xfId="0" applyBorder="1"/>
    <xf numFmtId="0" fontId="0" fillId="3" borderId="5" xfId="0" applyFill="1" applyBorder="1"/>
    <xf numFmtId="0" fontId="0" fillId="0" borderId="8" xfId="0" applyFill="1" applyBorder="1"/>
    <xf numFmtId="0" fontId="0" fillId="4" borderId="17" xfId="0" applyFill="1" applyBorder="1"/>
    <xf numFmtId="0" fontId="0" fillId="4" borderId="15" xfId="0" applyFill="1" applyBorder="1"/>
    <xf numFmtId="0" fontId="1" fillId="0" borderId="0" xfId="0" applyNumberFormat="1" applyFont="1" applyFill="1" applyBorder="1"/>
    <xf numFmtId="0" fontId="1" fillId="0" borderId="5" xfId="0" applyNumberFormat="1" applyFont="1" applyFill="1" applyBorder="1"/>
    <xf numFmtId="0" fontId="1" fillId="0" borderId="0" xfId="0" applyNumberFormat="1" applyFont="1" applyBorder="1"/>
    <xf numFmtId="0" fontId="1" fillId="0" borderId="5" xfId="0" applyNumberFormat="1" applyFont="1" applyBorder="1"/>
    <xf numFmtId="13" fontId="12" fillId="0" borderId="3" xfId="0" applyNumberFormat="1" applyFont="1" applyBorder="1"/>
    <xf numFmtId="13" fontId="1" fillId="0" borderId="2" xfId="0" applyNumberFormat="1" applyFont="1" applyBorder="1"/>
    <xf numFmtId="13" fontId="1" fillId="3" borderId="2" xfId="0" applyNumberFormat="1" applyFont="1" applyFill="1" applyBorder="1"/>
    <xf numFmtId="13" fontId="1" fillId="0" borderId="2" xfId="0" applyNumberFormat="1" applyFont="1" applyFill="1" applyBorder="1"/>
    <xf numFmtId="13" fontId="1" fillId="4" borderId="2" xfId="0" applyNumberFormat="1" applyFont="1" applyFill="1" applyBorder="1"/>
    <xf numFmtId="0" fontId="1" fillId="2" borderId="13" xfId="0" applyNumberFormat="1" applyFont="1" applyFill="1" applyBorder="1"/>
    <xf numFmtId="0" fontId="0" fillId="0" borderId="18" xfId="0" applyNumberFormat="1" applyBorder="1"/>
    <xf numFmtId="0" fontId="0" fillId="0" borderId="14" xfId="0" applyNumberFormat="1" applyBorder="1"/>
    <xf numFmtId="0" fontId="1" fillId="0" borderId="1" xfId="0" applyFont="1" applyBorder="1"/>
    <xf numFmtId="0" fontId="1" fillId="2" borderId="13" xfId="0" applyFont="1"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1" fillId="0" borderId="4" xfId="0" applyFont="1" applyFill="1" applyBorder="1" applyAlignment="1">
      <alignment horizontal="center"/>
    </xf>
    <xf numFmtId="0" fontId="1" fillId="0" borderId="0"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0" xfId="0" applyBorder="1" applyAlignment="1">
      <alignment horizontal="left"/>
    </xf>
    <xf numFmtId="0" fontId="0" fillId="0" borderId="0" xfId="0" applyBorder="1" applyAlignment="1"/>
    <xf numFmtId="0" fontId="1" fillId="2" borderId="1" xfId="0" applyNumberFormat="1" applyFont="1" applyFill="1" applyBorder="1" applyAlignment="1">
      <alignment horizontal="center"/>
    </xf>
    <xf numFmtId="0" fontId="1" fillId="2" borderId="2" xfId="0" applyNumberFormat="1" applyFont="1" applyFill="1" applyBorder="1" applyAlignment="1">
      <alignment horizontal="center"/>
    </xf>
    <xf numFmtId="0" fontId="1" fillId="2" borderId="3" xfId="0" applyNumberFormat="1" applyFont="1" applyFill="1" applyBorder="1" applyAlignment="1">
      <alignment horizontal="center"/>
    </xf>
    <xf numFmtId="13" fontId="1" fillId="2" borderId="1" xfId="0" applyNumberFormat="1" applyFont="1" applyFill="1" applyBorder="1" applyAlignment="1">
      <alignment horizontal="center"/>
    </xf>
    <xf numFmtId="13" fontId="1" fillId="2" borderId="2" xfId="0" applyNumberFormat="1" applyFont="1" applyFill="1" applyBorder="1" applyAlignment="1">
      <alignment horizontal="center"/>
    </xf>
    <xf numFmtId="13" fontId="1" fillId="2" borderId="3" xfId="0" applyNumberFormat="1"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Fill="1" applyBorder="1" applyAlignment="1">
      <alignment horizontal="center"/>
    </xf>
    <xf numFmtId="0" fontId="1" fillId="0" borderId="3" xfId="0" applyFont="1" applyFill="1" applyBorder="1" applyAlignment="1">
      <alignment horizontal="center"/>
    </xf>
    <xf numFmtId="0" fontId="1" fillId="0" borderId="2" xfId="0" applyFont="1" applyFill="1" applyBorder="1" applyAlignment="1">
      <alignment horizontal="center"/>
    </xf>
    <xf numFmtId="0" fontId="0" fillId="3" borderId="17" xfId="0" applyFont="1" applyFill="1" applyBorder="1" applyAlignment="1">
      <alignment horizontal="center"/>
    </xf>
    <xf numFmtId="0" fontId="0" fillId="3" borderId="16" xfId="0" applyFont="1" applyFill="1" applyBorder="1" applyAlignment="1">
      <alignment horizontal="center"/>
    </xf>
    <xf numFmtId="0" fontId="0" fillId="3" borderId="15" xfId="0" applyFont="1" applyFill="1" applyBorder="1" applyAlignment="1">
      <alignment horizontal="center"/>
    </xf>
    <xf numFmtId="0" fontId="1"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103909</xdr:colOff>
      <xdr:row>15</xdr:row>
      <xdr:rowOff>155864</xdr:rowOff>
    </xdr:from>
    <xdr:to>
      <xdr:col>7</xdr:col>
      <xdr:colOff>717220</xdr:colOff>
      <xdr:row>32</xdr:row>
      <xdr:rowOff>57150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0045" y="4191000"/>
          <a:ext cx="5479720" cy="329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190502</xdr:colOff>
      <xdr:row>2</xdr:row>
      <xdr:rowOff>86591</xdr:rowOff>
    </xdr:from>
    <xdr:to>
      <xdr:col>13</xdr:col>
      <xdr:colOff>3048000</xdr:colOff>
      <xdr:row>17</xdr:row>
      <xdr:rowOff>43976</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13320" y="484909"/>
          <a:ext cx="2857498" cy="2901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225137</xdr:colOff>
      <xdr:row>21</xdr:row>
      <xdr:rowOff>1</xdr:rowOff>
    </xdr:from>
    <xdr:to>
      <xdr:col>13</xdr:col>
      <xdr:colOff>3116298</xdr:colOff>
      <xdr:row>36</xdr:row>
      <xdr:rowOff>-1</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7955" y="4121728"/>
          <a:ext cx="2891161" cy="2961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225137</xdr:colOff>
      <xdr:row>2</xdr:row>
      <xdr:rowOff>69273</xdr:rowOff>
    </xdr:from>
    <xdr:to>
      <xdr:col>15</xdr:col>
      <xdr:colOff>3163479</xdr:colOff>
      <xdr:row>17</xdr:row>
      <xdr:rowOff>103909</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84773" y="467591"/>
          <a:ext cx="2938342" cy="297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45"/>
  <sheetViews>
    <sheetView tabSelected="1" zoomScale="55" zoomScaleNormal="55" workbookViewId="0"/>
  </sheetViews>
  <sheetFormatPr defaultRowHeight="15" x14ac:dyDescent="0.25"/>
  <cols>
    <col min="1" max="1" width="4.140625" customWidth="1"/>
    <col min="2" max="2" width="24.85546875" bestFit="1" customWidth="1"/>
    <col min="3" max="3" width="7.7109375" bestFit="1" customWidth="1"/>
    <col min="4" max="4" width="5.5703125" bestFit="1" customWidth="1"/>
    <col min="5" max="5" width="12.5703125" bestFit="1" customWidth="1"/>
    <col min="6" max="6" width="7.42578125" bestFit="1" customWidth="1"/>
    <col min="7" max="7" width="14.7109375" bestFit="1" customWidth="1"/>
    <col min="8" max="8" width="13.140625" bestFit="1" customWidth="1"/>
    <col min="9" max="9" width="3.42578125" customWidth="1"/>
    <col min="10" max="10" width="14.140625" bestFit="1" customWidth="1"/>
    <col min="11" max="11" width="8.42578125" bestFit="1" customWidth="1"/>
    <col min="12" max="12" width="5.140625" bestFit="1" customWidth="1"/>
    <col min="13" max="13" width="7.7109375" bestFit="1" customWidth="1"/>
    <col min="14" max="14" width="13.42578125" bestFit="1" customWidth="1"/>
    <col min="15" max="15" width="7.7109375" bestFit="1" customWidth="1"/>
    <col min="16" max="16" width="10" bestFit="1" customWidth="1"/>
    <col min="17" max="17" width="5.85546875" bestFit="1" customWidth="1"/>
    <col min="18" max="18" width="11.5703125" bestFit="1" customWidth="1"/>
    <col min="19" max="19" width="3.140625" customWidth="1"/>
    <col min="20" max="20" width="30.28515625" bestFit="1" customWidth="1"/>
    <col min="21" max="21" width="4.28515625" bestFit="1" customWidth="1"/>
    <col min="22" max="22" width="16" bestFit="1" customWidth="1"/>
    <col min="23" max="23" width="4.28515625" bestFit="1" customWidth="1"/>
    <col min="24" max="24" width="25.140625" bestFit="1" customWidth="1"/>
    <col min="25" max="25" width="4.28515625" bestFit="1" customWidth="1"/>
    <col min="26" max="26" width="3" bestFit="1" customWidth="1"/>
    <col min="27" max="28" width="4" customWidth="1"/>
    <col min="29" max="29" width="2.7109375" customWidth="1"/>
    <col min="30" max="30" width="3.42578125" customWidth="1"/>
    <col min="34" max="34" width="3.42578125" customWidth="1"/>
    <col min="35" max="35" width="3.7109375" customWidth="1"/>
    <col min="36" max="36" width="3.42578125" customWidth="1"/>
    <col min="37" max="37" width="3.140625" customWidth="1"/>
    <col min="38" max="38" width="3.42578125" customWidth="1"/>
    <col min="42" max="42" width="3.140625" customWidth="1"/>
    <col min="43" max="43" width="5.5703125" bestFit="1" customWidth="1"/>
    <col min="44" max="44" width="3.42578125" customWidth="1"/>
    <col min="45" max="45" width="4" customWidth="1"/>
  </cols>
  <sheetData>
    <row r="1" spans="1:45" ht="15.75" thickBot="1" x14ac:dyDescent="0.3"/>
    <row r="2" spans="1:45" x14ac:dyDescent="0.25">
      <c r="B2" s="108" t="s">
        <v>147</v>
      </c>
      <c r="C2" s="109"/>
      <c r="D2" s="109"/>
      <c r="E2" s="109"/>
      <c r="F2" s="109"/>
      <c r="G2" s="109"/>
      <c r="H2" s="109"/>
      <c r="I2" s="109"/>
      <c r="J2" s="109"/>
      <c r="K2" s="109"/>
      <c r="L2" s="109"/>
      <c r="M2" s="109"/>
      <c r="N2" s="109"/>
      <c r="O2" s="109"/>
      <c r="P2" s="109"/>
      <c r="Q2" s="109"/>
      <c r="R2" s="109"/>
      <c r="S2" s="109"/>
      <c r="T2" s="109"/>
      <c r="U2" s="109"/>
      <c r="V2" s="109"/>
      <c r="W2" s="109"/>
      <c r="X2" s="109"/>
      <c r="Y2" s="109"/>
      <c r="Z2" s="110"/>
    </row>
    <row r="3" spans="1:45" ht="61.5" customHeight="1" thickBot="1" x14ac:dyDescent="0.3">
      <c r="B3" s="118" t="s">
        <v>148</v>
      </c>
      <c r="C3" s="119"/>
      <c r="D3" s="119"/>
      <c r="E3" s="119"/>
      <c r="F3" s="119"/>
      <c r="G3" s="119"/>
      <c r="H3" s="119"/>
      <c r="I3" s="119"/>
      <c r="J3" s="119"/>
      <c r="K3" s="119"/>
      <c r="L3" s="119"/>
      <c r="M3" s="119"/>
      <c r="N3" s="119"/>
      <c r="O3" s="119"/>
      <c r="P3" s="119"/>
      <c r="Q3" s="119"/>
      <c r="R3" s="119"/>
      <c r="S3" s="119"/>
      <c r="T3" s="119"/>
      <c r="U3" s="119"/>
      <c r="V3" s="119"/>
      <c r="W3" s="119"/>
      <c r="X3" s="119"/>
      <c r="Y3" s="119"/>
      <c r="Z3" s="120"/>
    </row>
    <row r="4" spans="1:45" ht="15.75" thickBot="1" x14ac:dyDescent="0.3"/>
    <row r="5" spans="1:45" x14ac:dyDescent="0.25">
      <c r="B5" s="108" t="s">
        <v>191</v>
      </c>
      <c r="C5" s="109"/>
      <c r="D5" s="109"/>
      <c r="E5" s="109"/>
      <c r="F5" s="109"/>
      <c r="G5" s="109"/>
      <c r="H5" s="110"/>
      <c r="J5" s="108" t="s">
        <v>193</v>
      </c>
      <c r="K5" s="109"/>
      <c r="L5" s="109"/>
      <c r="M5" s="109"/>
      <c r="N5" s="109"/>
      <c r="O5" s="109"/>
      <c r="P5" s="109"/>
      <c r="Q5" s="109"/>
      <c r="R5" s="110"/>
      <c r="T5" s="108" t="s">
        <v>117</v>
      </c>
      <c r="U5" s="109"/>
      <c r="V5" s="109"/>
      <c r="W5" s="109"/>
      <c r="X5" s="110"/>
      <c r="AC5" s="108" t="s">
        <v>197</v>
      </c>
      <c r="AD5" s="109"/>
      <c r="AE5" s="109"/>
      <c r="AF5" s="109"/>
      <c r="AG5" s="109"/>
      <c r="AH5" s="109"/>
      <c r="AI5" s="109"/>
      <c r="AJ5" s="109"/>
      <c r="AK5" s="109"/>
      <c r="AL5" s="109"/>
      <c r="AM5" s="109"/>
      <c r="AN5" s="109"/>
      <c r="AO5" s="109"/>
      <c r="AP5" s="109"/>
      <c r="AQ5" s="109"/>
      <c r="AR5" s="109"/>
      <c r="AS5" s="110"/>
    </row>
    <row r="6" spans="1:45" ht="55.5" thickBot="1" x14ac:dyDescent="0.3">
      <c r="B6" s="50"/>
      <c r="C6" s="52" t="s">
        <v>108</v>
      </c>
      <c r="D6" s="51"/>
      <c r="E6" s="52" t="s">
        <v>109</v>
      </c>
      <c r="F6" s="51"/>
      <c r="G6" s="51"/>
      <c r="H6" s="53"/>
      <c r="J6" s="50"/>
      <c r="K6" s="52" t="s">
        <v>110</v>
      </c>
      <c r="L6" s="51"/>
      <c r="M6" s="52" t="s">
        <v>111</v>
      </c>
      <c r="N6" s="51"/>
      <c r="O6" s="52" t="s">
        <v>112</v>
      </c>
      <c r="P6" s="51"/>
      <c r="Q6" s="51"/>
      <c r="R6" s="53"/>
      <c r="T6" s="31" t="s">
        <v>118</v>
      </c>
      <c r="U6" s="27" t="s">
        <v>72</v>
      </c>
      <c r="V6" s="27" t="s">
        <v>119</v>
      </c>
      <c r="W6" s="27"/>
      <c r="X6" s="28"/>
      <c r="AC6" s="31"/>
      <c r="AD6" s="27"/>
      <c r="AE6" s="27"/>
      <c r="AF6" s="27"/>
      <c r="AG6" s="27"/>
      <c r="AH6" s="27"/>
      <c r="AI6" s="27"/>
      <c r="AJ6" s="27"/>
      <c r="AK6" s="27"/>
      <c r="AL6" s="27"/>
      <c r="AM6" s="27"/>
      <c r="AN6" s="27"/>
      <c r="AO6" s="27"/>
      <c r="AP6" s="27"/>
      <c r="AQ6" s="27"/>
      <c r="AR6" s="27"/>
      <c r="AS6" s="28"/>
    </row>
    <row r="7" spans="1:45" x14ac:dyDescent="0.25">
      <c r="B7" s="4" t="s">
        <v>42</v>
      </c>
      <c r="C7" s="5" t="s">
        <v>43</v>
      </c>
      <c r="D7" s="27" t="s">
        <v>45</v>
      </c>
      <c r="E7" s="5" t="s">
        <v>44</v>
      </c>
      <c r="F7" s="27"/>
      <c r="G7" s="27"/>
      <c r="H7" s="28"/>
      <c r="J7" s="4" t="s">
        <v>53</v>
      </c>
      <c r="K7" s="59" t="s">
        <v>54</v>
      </c>
      <c r="L7" s="56" t="s">
        <v>45</v>
      </c>
      <c r="M7" s="59" t="s">
        <v>55</v>
      </c>
      <c r="N7" s="60" t="s">
        <v>45</v>
      </c>
      <c r="O7" s="59" t="s">
        <v>56</v>
      </c>
      <c r="P7" s="56"/>
      <c r="Q7" s="56"/>
      <c r="R7" s="61"/>
      <c r="T7" s="31"/>
      <c r="U7" s="27" t="s">
        <v>72</v>
      </c>
      <c r="V7" s="27">
        <v>1</v>
      </c>
      <c r="W7" s="27">
        <v>1</v>
      </c>
      <c r="X7" s="28">
        <v>0</v>
      </c>
      <c r="AC7" s="31"/>
      <c r="AD7" s="108" t="s">
        <v>149</v>
      </c>
      <c r="AE7" s="109"/>
      <c r="AF7" s="109"/>
      <c r="AG7" s="109"/>
      <c r="AH7" s="109"/>
      <c r="AI7" s="109"/>
      <c r="AJ7" s="110"/>
      <c r="AK7" s="73"/>
      <c r="AL7" s="108" t="s">
        <v>174</v>
      </c>
      <c r="AM7" s="109"/>
      <c r="AN7" s="109"/>
      <c r="AO7" s="109"/>
      <c r="AP7" s="109"/>
      <c r="AQ7" s="109"/>
      <c r="AR7" s="110"/>
      <c r="AS7" s="28"/>
    </row>
    <row r="8" spans="1:45" x14ac:dyDescent="0.25">
      <c r="B8" s="29" t="s">
        <v>46</v>
      </c>
      <c r="C8" s="27"/>
      <c r="D8" s="27"/>
      <c r="E8" s="27"/>
      <c r="F8" s="27"/>
      <c r="G8" s="27"/>
      <c r="H8" s="28"/>
      <c r="J8" s="29" t="s">
        <v>46</v>
      </c>
      <c r="K8" s="56"/>
      <c r="L8" s="56"/>
      <c r="M8" s="56"/>
      <c r="N8" s="56"/>
      <c r="O8" s="56"/>
      <c r="P8" s="56"/>
      <c r="Q8" s="56"/>
      <c r="R8" s="61"/>
      <c r="T8" s="31"/>
      <c r="U8" s="27"/>
      <c r="V8" s="27"/>
      <c r="W8" s="27"/>
      <c r="X8" s="28"/>
      <c r="AC8" s="31"/>
      <c r="AD8" s="31"/>
      <c r="AE8" s="27"/>
      <c r="AF8" s="27"/>
      <c r="AG8" s="27"/>
      <c r="AH8" s="27"/>
      <c r="AI8" s="27"/>
      <c r="AJ8" s="28"/>
      <c r="AK8" s="27"/>
      <c r="AL8" s="31"/>
      <c r="AM8" s="27"/>
      <c r="AN8" s="27"/>
      <c r="AO8" s="27"/>
      <c r="AP8" s="27"/>
      <c r="AQ8" s="27"/>
      <c r="AR8" s="28"/>
      <c r="AS8" s="28"/>
    </row>
    <row r="9" spans="1:45" x14ac:dyDescent="0.25">
      <c r="B9" s="30">
        <v>1</v>
      </c>
      <c r="C9" s="5" t="s">
        <v>47</v>
      </c>
      <c r="D9" s="27" t="s">
        <v>45</v>
      </c>
      <c r="E9" s="5" t="s">
        <v>49</v>
      </c>
      <c r="F9" s="26" t="s">
        <v>51</v>
      </c>
      <c r="G9" s="5">
        <v>100</v>
      </c>
      <c r="H9" s="54" t="s">
        <v>110</v>
      </c>
      <c r="J9" s="30">
        <v>1</v>
      </c>
      <c r="K9" s="59" t="s">
        <v>57</v>
      </c>
      <c r="L9" s="56" t="s">
        <v>45</v>
      </c>
      <c r="M9" s="59" t="s">
        <v>58</v>
      </c>
      <c r="N9" s="60" t="s">
        <v>45</v>
      </c>
      <c r="O9" s="59" t="s">
        <v>59</v>
      </c>
      <c r="P9" s="62" t="s">
        <v>52</v>
      </c>
      <c r="Q9" s="59">
        <v>3</v>
      </c>
      <c r="R9" s="63" t="s">
        <v>108</v>
      </c>
      <c r="T9" s="31" t="s">
        <v>126</v>
      </c>
      <c r="U9" s="27" t="s">
        <v>72</v>
      </c>
      <c r="V9" s="49">
        <v>1</v>
      </c>
      <c r="W9" s="27"/>
      <c r="X9" s="28"/>
      <c r="AC9" s="31"/>
      <c r="AD9" s="31"/>
      <c r="AE9" s="27"/>
      <c r="AF9" s="122" t="s">
        <v>151</v>
      </c>
      <c r="AG9" s="122"/>
      <c r="AH9" s="122"/>
      <c r="AI9" s="122"/>
      <c r="AJ9" s="72"/>
      <c r="AK9" s="27"/>
      <c r="AL9" s="31"/>
      <c r="AM9" s="121" t="s">
        <v>151</v>
      </c>
      <c r="AN9" s="121"/>
      <c r="AO9" s="121"/>
      <c r="AP9" s="121"/>
      <c r="AQ9" s="121"/>
      <c r="AR9" s="28"/>
      <c r="AS9" s="28"/>
    </row>
    <row r="10" spans="1:45" x14ac:dyDescent="0.25">
      <c r="B10" s="30">
        <v>2</v>
      </c>
      <c r="C10" s="5" t="s">
        <v>48</v>
      </c>
      <c r="D10" s="27" t="s">
        <v>45</v>
      </c>
      <c r="E10" s="5" t="s">
        <v>49</v>
      </c>
      <c r="F10" s="26" t="s">
        <v>51</v>
      </c>
      <c r="G10" s="5">
        <v>80</v>
      </c>
      <c r="H10" s="54" t="s">
        <v>111</v>
      </c>
      <c r="J10" s="30">
        <v>2</v>
      </c>
      <c r="K10" s="59" t="s">
        <v>60</v>
      </c>
      <c r="L10" s="56" t="s">
        <v>45</v>
      </c>
      <c r="M10" s="59" t="s">
        <v>58</v>
      </c>
      <c r="N10" s="60"/>
      <c r="O10" s="59"/>
      <c r="P10" s="62" t="s">
        <v>52</v>
      </c>
      <c r="Q10" s="59">
        <v>2</v>
      </c>
      <c r="R10" s="64" t="s">
        <v>109</v>
      </c>
      <c r="T10" s="31" t="s">
        <v>120</v>
      </c>
      <c r="U10" s="27" t="s">
        <v>72</v>
      </c>
      <c r="V10" s="49">
        <v>1</v>
      </c>
      <c r="W10" s="27"/>
      <c r="X10" s="28"/>
      <c r="AC10" s="31"/>
      <c r="AD10" s="31"/>
      <c r="AE10" s="67" t="s">
        <v>150</v>
      </c>
      <c r="AF10" s="121" t="s">
        <v>163</v>
      </c>
      <c r="AG10" s="121"/>
      <c r="AH10" s="121"/>
      <c r="AI10" s="121"/>
      <c r="AJ10" s="72"/>
      <c r="AK10" s="27"/>
      <c r="AL10" s="31"/>
      <c r="AM10" s="121" t="s">
        <v>175</v>
      </c>
      <c r="AN10" s="121"/>
      <c r="AO10" s="121"/>
      <c r="AP10" s="121"/>
      <c r="AQ10" s="121"/>
      <c r="AR10" s="28"/>
      <c r="AS10" s="28"/>
    </row>
    <row r="11" spans="1:45" ht="15.75" thickBot="1" x14ac:dyDescent="0.3">
      <c r="B11" s="30">
        <v>3</v>
      </c>
      <c r="C11" s="5" t="s">
        <v>48</v>
      </c>
      <c r="D11" s="27"/>
      <c r="E11" s="5"/>
      <c r="F11" s="26" t="s">
        <v>51</v>
      </c>
      <c r="G11" s="5">
        <v>40</v>
      </c>
      <c r="H11" s="55" t="s">
        <v>112</v>
      </c>
      <c r="J11" s="31"/>
      <c r="K11" s="27"/>
      <c r="L11" s="27"/>
      <c r="M11" s="27"/>
      <c r="N11" s="27"/>
      <c r="O11" s="27"/>
      <c r="P11" s="27"/>
      <c r="Q11" s="27"/>
      <c r="R11" s="28"/>
      <c r="T11" s="32" t="s">
        <v>127</v>
      </c>
      <c r="U11" s="34" t="s">
        <v>72</v>
      </c>
      <c r="V11" s="58">
        <v>0</v>
      </c>
      <c r="W11" s="34"/>
      <c r="X11" s="35"/>
      <c r="AC11" s="31"/>
      <c r="AD11" s="31"/>
      <c r="AE11" s="27" t="s">
        <v>155</v>
      </c>
      <c r="AF11" s="121" t="s">
        <v>164</v>
      </c>
      <c r="AG11" s="121"/>
      <c r="AH11" s="121"/>
      <c r="AI11" s="121"/>
      <c r="AJ11" s="72"/>
      <c r="AK11" s="27"/>
      <c r="AL11" s="31"/>
      <c r="AM11" s="121" t="s">
        <v>176</v>
      </c>
      <c r="AN11" s="121"/>
      <c r="AO11" s="121"/>
      <c r="AP11" s="121"/>
      <c r="AQ11" s="121"/>
      <c r="AR11" s="28"/>
      <c r="AS11" s="28"/>
    </row>
    <row r="12" spans="1:45" ht="15.75" thickBot="1" x14ac:dyDescent="0.3">
      <c r="B12" s="31"/>
      <c r="C12" s="27"/>
      <c r="D12" s="27"/>
      <c r="E12" s="27"/>
      <c r="F12" s="27"/>
      <c r="G12" s="27"/>
      <c r="H12" s="28"/>
      <c r="J12" s="32"/>
      <c r="K12" s="14" t="s">
        <v>61</v>
      </c>
      <c r="L12" s="33" t="s">
        <v>52</v>
      </c>
      <c r="M12" s="34">
        <v>0</v>
      </c>
      <c r="N12" s="34"/>
      <c r="O12" s="34"/>
      <c r="P12" s="34"/>
      <c r="Q12" s="34"/>
      <c r="R12" s="35"/>
      <c r="AC12" s="31"/>
      <c r="AD12" s="31"/>
      <c r="AE12" s="27"/>
      <c r="AF12" s="27"/>
      <c r="AG12" s="27"/>
      <c r="AH12" s="27"/>
      <c r="AI12" s="27"/>
      <c r="AJ12" s="28"/>
      <c r="AK12" s="27"/>
      <c r="AL12" s="31"/>
      <c r="AM12" s="27"/>
      <c r="AN12" s="27"/>
      <c r="AO12" s="27"/>
      <c r="AP12" s="27"/>
      <c r="AQ12" s="27"/>
      <c r="AR12" s="28"/>
      <c r="AS12" s="28"/>
    </row>
    <row r="13" spans="1:45" ht="15.75" thickBot="1" x14ac:dyDescent="0.3">
      <c r="B13" s="32"/>
      <c r="C13" s="14" t="s">
        <v>50</v>
      </c>
      <c r="D13" s="33" t="s">
        <v>52</v>
      </c>
      <c r="E13" s="34">
        <v>0</v>
      </c>
      <c r="F13" s="34"/>
      <c r="G13" s="34"/>
      <c r="H13" s="35"/>
      <c r="T13" s="108" t="s">
        <v>121</v>
      </c>
      <c r="U13" s="109"/>
      <c r="V13" s="109"/>
      <c r="W13" s="110"/>
      <c r="AC13" s="31"/>
      <c r="AD13" s="31"/>
      <c r="AE13" s="27" t="s">
        <v>154</v>
      </c>
      <c r="AF13" s="44" t="s">
        <v>152</v>
      </c>
      <c r="AG13" s="27"/>
      <c r="AH13" s="27"/>
      <c r="AI13" s="27"/>
      <c r="AJ13" s="28"/>
      <c r="AK13" s="27"/>
      <c r="AL13" s="31"/>
      <c r="AM13" s="68">
        <v>80</v>
      </c>
      <c r="AN13" s="71" t="s">
        <v>51</v>
      </c>
      <c r="AO13" s="68" t="s">
        <v>177</v>
      </c>
      <c r="AP13" s="71" t="s">
        <v>51</v>
      </c>
      <c r="AQ13" s="74">
        <v>120</v>
      </c>
      <c r="AR13" s="28"/>
      <c r="AS13" s="28"/>
    </row>
    <row r="14" spans="1:45" ht="15.75" thickBot="1" x14ac:dyDescent="0.3">
      <c r="J14" s="108" t="s">
        <v>194</v>
      </c>
      <c r="K14" s="109"/>
      <c r="L14" s="109"/>
      <c r="M14" s="109"/>
      <c r="N14" s="109"/>
      <c r="O14" s="109"/>
      <c r="P14" s="110"/>
      <c r="T14" s="31" t="s">
        <v>122</v>
      </c>
      <c r="U14" s="27" t="s">
        <v>72</v>
      </c>
      <c r="V14" s="27" t="s">
        <v>123</v>
      </c>
      <c r="W14" s="28"/>
      <c r="AC14" s="31"/>
      <c r="AD14" s="31"/>
      <c r="AE14" s="27" t="s">
        <v>156</v>
      </c>
      <c r="AF14" s="44" t="s">
        <v>153</v>
      </c>
      <c r="AG14" s="27"/>
      <c r="AH14" s="44"/>
      <c r="AI14" s="27"/>
      <c r="AJ14" s="28"/>
      <c r="AK14" s="27"/>
      <c r="AL14" s="31"/>
      <c r="AM14" s="68">
        <v>-20</v>
      </c>
      <c r="AN14" s="71" t="s">
        <v>51</v>
      </c>
      <c r="AO14" s="70" t="s">
        <v>165</v>
      </c>
      <c r="AP14" s="71" t="s">
        <v>51</v>
      </c>
      <c r="AQ14" s="75">
        <v>20</v>
      </c>
      <c r="AR14" s="28"/>
      <c r="AS14" s="28"/>
    </row>
    <row r="15" spans="1:45" ht="15.75" thickBot="1" x14ac:dyDescent="0.3">
      <c r="B15" s="108" t="s">
        <v>195</v>
      </c>
      <c r="C15" s="109"/>
      <c r="D15" s="109"/>
      <c r="E15" s="109"/>
      <c r="F15" s="109"/>
      <c r="G15" s="109"/>
      <c r="H15" s="110"/>
      <c r="J15" s="30"/>
      <c r="K15" s="44" t="s">
        <v>90</v>
      </c>
      <c r="L15" s="44" t="s">
        <v>91</v>
      </c>
      <c r="M15" s="44" t="s">
        <v>92</v>
      </c>
      <c r="N15" s="44" t="s">
        <v>93</v>
      </c>
      <c r="O15" s="44" t="s">
        <v>5</v>
      </c>
      <c r="P15" s="45" t="s">
        <v>94</v>
      </c>
      <c r="T15" s="31"/>
      <c r="U15" s="27" t="s">
        <v>72</v>
      </c>
      <c r="V15" s="27">
        <v>20</v>
      </c>
      <c r="W15" s="28">
        <v>60</v>
      </c>
      <c r="AC15" s="31"/>
      <c r="AD15" s="31"/>
      <c r="AE15" s="27"/>
      <c r="AF15" s="27"/>
      <c r="AG15" s="27"/>
      <c r="AH15" s="27"/>
      <c r="AI15" s="27"/>
      <c r="AJ15" s="28"/>
      <c r="AK15" s="27"/>
      <c r="AL15" s="32"/>
      <c r="AM15" s="34"/>
      <c r="AN15" s="34"/>
      <c r="AO15" s="34"/>
      <c r="AP15" s="34"/>
      <c r="AQ15" s="34"/>
      <c r="AR15" s="35"/>
      <c r="AS15" s="28"/>
    </row>
    <row r="16" spans="1:45" ht="15.75" thickBot="1" x14ac:dyDescent="0.3">
      <c r="B16" s="31"/>
      <c r="C16" s="27"/>
      <c r="D16" s="27"/>
      <c r="E16" s="27"/>
      <c r="F16" s="27"/>
      <c r="G16" s="27"/>
      <c r="H16" s="28"/>
      <c r="J16" s="30" t="s">
        <v>95</v>
      </c>
      <c r="K16" s="27">
        <v>100</v>
      </c>
      <c r="L16" s="27">
        <v>80</v>
      </c>
      <c r="M16" s="27">
        <v>40</v>
      </c>
      <c r="N16" s="27"/>
      <c r="O16" s="27"/>
      <c r="P16" s="28"/>
      <c r="T16" s="31"/>
      <c r="U16" s="27"/>
      <c r="V16" s="27"/>
      <c r="W16" s="28"/>
      <c r="AC16" s="31"/>
      <c r="AD16" s="31"/>
      <c r="AE16" s="67" t="s">
        <v>150</v>
      </c>
      <c r="AF16" s="27" t="s">
        <v>160</v>
      </c>
      <c r="AG16" s="27" t="s">
        <v>155</v>
      </c>
      <c r="AH16" s="27" t="s">
        <v>158</v>
      </c>
      <c r="AI16" s="27"/>
      <c r="AJ16" s="28"/>
      <c r="AK16" s="27"/>
      <c r="AL16" s="27"/>
      <c r="AM16" s="27"/>
      <c r="AN16" s="27"/>
      <c r="AO16" s="27"/>
      <c r="AP16" s="27"/>
      <c r="AQ16" s="27"/>
      <c r="AR16" s="27"/>
      <c r="AS16" s="28"/>
    </row>
    <row r="17" spans="2:45" x14ac:dyDescent="0.25">
      <c r="B17" s="31"/>
      <c r="C17" s="27"/>
      <c r="D17" s="27"/>
      <c r="E17" s="27"/>
      <c r="F17" s="27"/>
      <c r="G17" s="27"/>
      <c r="H17" s="28"/>
      <c r="J17" s="30" t="s">
        <v>46</v>
      </c>
      <c r="K17" s="27">
        <v>2</v>
      </c>
      <c r="L17" s="27">
        <v>1</v>
      </c>
      <c r="M17" s="27">
        <v>1</v>
      </c>
      <c r="N17" s="27">
        <f>SUMPRODUCT(K17:M17,$K$19:$M$19)</f>
        <v>3</v>
      </c>
      <c r="O17" s="36" t="s">
        <v>52</v>
      </c>
      <c r="P17" s="28">
        <v>3</v>
      </c>
      <c r="T17" s="31" t="s">
        <v>128</v>
      </c>
      <c r="U17" s="27" t="s">
        <v>72</v>
      </c>
      <c r="V17" s="49">
        <v>20</v>
      </c>
      <c r="W17" s="28"/>
      <c r="AC17" s="31"/>
      <c r="AD17" s="31"/>
      <c r="AE17" s="27"/>
      <c r="AF17" s="27" t="s">
        <v>161</v>
      </c>
      <c r="AG17" s="27"/>
      <c r="AH17" s="27" t="s">
        <v>159</v>
      </c>
      <c r="AI17" s="27"/>
      <c r="AJ17" s="28"/>
      <c r="AK17" s="27"/>
      <c r="AL17" s="108" t="s">
        <v>178</v>
      </c>
      <c r="AM17" s="109"/>
      <c r="AN17" s="109"/>
      <c r="AO17" s="109"/>
      <c r="AP17" s="109"/>
      <c r="AQ17" s="109"/>
      <c r="AR17" s="110"/>
      <c r="AS17" s="28"/>
    </row>
    <row r="18" spans="2:45" ht="15.75" thickBot="1" x14ac:dyDescent="0.3">
      <c r="B18" s="31"/>
      <c r="C18" s="27"/>
      <c r="D18" s="27"/>
      <c r="E18" s="27"/>
      <c r="F18" s="27"/>
      <c r="G18" s="27"/>
      <c r="H18" s="28"/>
      <c r="J18" s="30"/>
      <c r="K18" s="27">
        <v>1</v>
      </c>
      <c r="L18" s="27">
        <v>1</v>
      </c>
      <c r="M18" s="27">
        <v>0</v>
      </c>
      <c r="N18" s="27">
        <f>SUMPRODUCT(K18:M18,$K$19:$M$19)</f>
        <v>2</v>
      </c>
      <c r="O18" s="36" t="s">
        <v>52</v>
      </c>
      <c r="P18" s="28">
        <v>2</v>
      </c>
      <c r="T18" s="32" t="s">
        <v>129</v>
      </c>
      <c r="U18" s="34" t="s">
        <v>72</v>
      </c>
      <c r="V18" s="58">
        <v>60</v>
      </c>
      <c r="W18" s="35"/>
      <c r="AC18" s="31"/>
      <c r="AD18" s="31"/>
      <c r="AE18" s="27"/>
      <c r="AF18" s="27"/>
      <c r="AG18" s="27"/>
      <c r="AH18" s="27"/>
      <c r="AI18" s="27"/>
      <c r="AJ18" s="28"/>
      <c r="AK18" s="27"/>
      <c r="AL18" s="31"/>
      <c r="AM18" s="27"/>
      <c r="AN18" s="27"/>
      <c r="AO18" s="27"/>
      <c r="AP18" s="27"/>
      <c r="AQ18" s="27"/>
      <c r="AR18" s="28"/>
      <c r="AS18" s="28"/>
    </row>
    <row r="19" spans="2:45" ht="15.75" thickBot="1" x14ac:dyDescent="0.3">
      <c r="B19" s="31"/>
      <c r="C19" s="27"/>
      <c r="D19" s="27"/>
      <c r="E19" s="27"/>
      <c r="F19" s="27"/>
      <c r="G19" s="27"/>
      <c r="H19" s="28"/>
      <c r="J19" s="30" t="s">
        <v>96</v>
      </c>
      <c r="K19" s="27">
        <v>1</v>
      </c>
      <c r="L19" s="27">
        <v>1</v>
      </c>
      <c r="M19" s="27">
        <v>0</v>
      </c>
      <c r="N19" s="27"/>
      <c r="O19" s="27"/>
      <c r="P19" s="28"/>
      <c r="AC19" s="31"/>
      <c r="AD19" s="31"/>
      <c r="AE19" s="68">
        <v>2</v>
      </c>
      <c r="AF19" s="71" t="s">
        <v>51</v>
      </c>
      <c r="AG19" s="68" t="s">
        <v>162</v>
      </c>
      <c r="AH19" s="71" t="s">
        <v>51</v>
      </c>
      <c r="AI19" s="68">
        <v>4</v>
      </c>
      <c r="AJ19" s="28"/>
      <c r="AK19" s="27"/>
      <c r="AL19" s="31"/>
      <c r="AM19" s="121" t="s">
        <v>151</v>
      </c>
      <c r="AN19" s="121"/>
      <c r="AO19" s="121"/>
      <c r="AP19" s="121"/>
      <c r="AQ19" s="121"/>
      <c r="AR19" s="28"/>
      <c r="AS19" s="28"/>
    </row>
    <row r="20" spans="2:45" ht="15.75" thickBot="1" x14ac:dyDescent="0.3">
      <c r="B20" s="31"/>
      <c r="C20" s="27"/>
      <c r="D20" s="27"/>
      <c r="E20" s="27"/>
      <c r="F20" s="27"/>
      <c r="G20" s="27"/>
      <c r="H20" s="28"/>
      <c r="J20" s="46" t="s">
        <v>53</v>
      </c>
      <c r="K20" s="34">
        <f t="array" ref="K20">SUMPRODUCT(K19:M19,K16:M16)</f>
        <v>180</v>
      </c>
      <c r="L20" s="34"/>
      <c r="M20" s="34"/>
      <c r="N20" s="34"/>
      <c r="O20" s="34"/>
      <c r="P20" s="35"/>
      <c r="T20" s="108" t="s">
        <v>124</v>
      </c>
      <c r="U20" s="109"/>
      <c r="V20" s="109"/>
      <c r="W20" s="109"/>
      <c r="X20" s="109"/>
      <c r="Y20" s="109"/>
      <c r="Z20" s="110"/>
      <c r="AC20" s="31"/>
      <c r="AD20" s="31"/>
      <c r="AE20" s="68">
        <v>-1</v>
      </c>
      <c r="AF20" s="71" t="s">
        <v>51</v>
      </c>
      <c r="AG20" s="70" t="s">
        <v>165</v>
      </c>
      <c r="AH20" s="71" t="s">
        <v>51</v>
      </c>
      <c r="AI20" s="69">
        <v>1</v>
      </c>
      <c r="AJ20" s="28"/>
      <c r="AK20" s="27"/>
      <c r="AL20" s="31"/>
      <c r="AM20" s="121" t="s">
        <v>179</v>
      </c>
      <c r="AN20" s="121"/>
      <c r="AO20" s="121"/>
      <c r="AP20" s="121"/>
      <c r="AQ20" s="121"/>
      <c r="AR20" s="28"/>
      <c r="AS20" s="28"/>
    </row>
    <row r="21" spans="2:45" ht="15.75" thickBot="1" x14ac:dyDescent="0.3">
      <c r="B21" s="31"/>
      <c r="C21" s="27"/>
      <c r="D21" s="27"/>
      <c r="E21" s="27"/>
      <c r="F21" s="27"/>
      <c r="G21" s="27"/>
      <c r="H21" s="28"/>
      <c r="T21" s="31" t="s">
        <v>118</v>
      </c>
      <c r="U21" s="27"/>
      <c r="V21" s="27"/>
      <c r="W21" s="27" t="s">
        <v>72</v>
      </c>
      <c r="X21" s="27" t="s">
        <v>104</v>
      </c>
      <c r="Y21" s="27"/>
      <c r="Z21" s="28"/>
      <c r="AC21" s="31"/>
      <c r="AD21" s="32"/>
      <c r="AE21" s="34"/>
      <c r="AF21" s="34"/>
      <c r="AG21" s="34"/>
      <c r="AH21" s="34"/>
      <c r="AI21" s="34"/>
      <c r="AJ21" s="35"/>
      <c r="AK21" s="27"/>
      <c r="AL21" s="31"/>
      <c r="AM21" s="121" t="s">
        <v>180</v>
      </c>
      <c r="AN21" s="121"/>
      <c r="AO21" s="121"/>
      <c r="AP21" s="121"/>
      <c r="AQ21" s="121"/>
      <c r="AR21" s="28"/>
      <c r="AS21" s="28"/>
    </row>
    <row r="22" spans="2:45" ht="15.75" thickBot="1" x14ac:dyDescent="0.3">
      <c r="B22" s="31"/>
      <c r="C22" s="27"/>
      <c r="D22" s="27"/>
      <c r="E22" s="27"/>
      <c r="F22" s="27"/>
      <c r="G22" s="27"/>
      <c r="H22" s="28"/>
      <c r="J22" s="108" t="s">
        <v>97</v>
      </c>
      <c r="K22" s="109"/>
      <c r="L22" s="110"/>
      <c r="T22" s="31">
        <v>1</v>
      </c>
      <c r="U22" s="27">
        <v>1</v>
      </c>
      <c r="V22" s="27">
        <v>0</v>
      </c>
      <c r="W22" s="27" t="s">
        <v>72</v>
      </c>
      <c r="X22" s="27">
        <v>1</v>
      </c>
      <c r="Y22" s="27">
        <v>0</v>
      </c>
      <c r="Z22" s="28">
        <v>0</v>
      </c>
      <c r="AC22" s="31"/>
      <c r="AD22" s="27"/>
      <c r="AE22" s="27"/>
      <c r="AF22" s="27"/>
      <c r="AG22" s="27"/>
      <c r="AH22" s="27"/>
      <c r="AI22" s="27"/>
      <c r="AJ22" s="27"/>
      <c r="AK22" s="27"/>
      <c r="AL22" s="31"/>
      <c r="AM22" s="27"/>
      <c r="AN22" s="27"/>
      <c r="AO22" s="27"/>
      <c r="AP22" s="27"/>
      <c r="AQ22" s="27"/>
      <c r="AR22" s="28"/>
      <c r="AS22" s="28"/>
    </row>
    <row r="23" spans="2:45" x14ac:dyDescent="0.25">
      <c r="B23" s="31"/>
      <c r="C23" s="27"/>
      <c r="D23" s="27"/>
      <c r="E23" s="27"/>
      <c r="F23" s="27"/>
      <c r="G23" s="27"/>
      <c r="H23" s="28"/>
      <c r="J23" s="47" t="s">
        <v>98</v>
      </c>
      <c r="K23" s="27">
        <v>180</v>
      </c>
      <c r="L23" s="28"/>
      <c r="T23" s="31"/>
      <c r="U23" s="27"/>
      <c r="V23" s="27"/>
      <c r="W23" s="27"/>
      <c r="X23" s="27"/>
      <c r="Y23" s="27"/>
      <c r="Z23" s="28"/>
      <c r="AC23" s="31"/>
      <c r="AD23" s="108" t="s">
        <v>166</v>
      </c>
      <c r="AE23" s="109"/>
      <c r="AF23" s="109"/>
      <c r="AG23" s="109"/>
      <c r="AH23" s="109"/>
      <c r="AI23" s="109"/>
      <c r="AJ23" s="110"/>
      <c r="AK23" s="73"/>
      <c r="AL23" s="31"/>
      <c r="AM23" s="68">
        <v>60</v>
      </c>
      <c r="AN23" s="71" t="s">
        <v>51</v>
      </c>
      <c r="AO23" s="68" t="s">
        <v>181</v>
      </c>
      <c r="AP23" s="71" t="s">
        <v>51</v>
      </c>
      <c r="AQ23" s="74">
        <v>100</v>
      </c>
      <c r="AR23" s="28"/>
      <c r="AS23" s="28"/>
    </row>
    <row r="24" spans="2:45" x14ac:dyDescent="0.25">
      <c r="B24" s="31"/>
      <c r="C24" s="27"/>
      <c r="D24" s="27"/>
      <c r="E24" s="27"/>
      <c r="F24" s="27"/>
      <c r="G24" s="27"/>
      <c r="H24" s="28"/>
      <c r="J24" s="47" t="s">
        <v>99</v>
      </c>
      <c r="K24" s="27">
        <v>180</v>
      </c>
      <c r="L24" s="28"/>
      <c r="T24" s="31" t="s">
        <v>122</v>
      </c>
      <c r="U24" s="27"/>
      <c r="V24" s="27"/>
      <c r="W24" s="27" t="s">
        <v>72</v>
      </c>
      <c r="X24" s="27" t="s">
        <v>125</v>
      </c>
      <c r="Y24" s="27"/>
      <c r="Z24" s="28"/>
      <c r="AC24" s="31"/>
      <c r="AD24" s="31"/>
      <c r="AE24" s="27"/>
      <c r="AF24" s="27"/>
      <c r="AG24" s="27"/>
      <c r="AH24" s="27"/>
      <c r="AI24" s="27"/>
      <c r="AJ24" s="28"/>
      <c r="AK24" s="27"/>
      <c r="AL24" s="31"/>
      <c r="AM24" s="68">
        <v>-20</v>
      </c>
      <c r="AN24" s="71" t="s">
        <v>51</v>
      </c>
      <c r="AO24" s="70" t="s">
        <v>165</v>
      </c>
      <c r="AP24" s="71" t="s">
        <v>51</v>
      </c>
      <c r="AQ24" s="75">
        <v>20</v>
      </c>
      <c r="AR24" s="28"/>
      <c r="AS24" s="28"/>
    </row>
    <row r="25" spans="2:45" ht="15.75" thickBot="1" x14ac:dyDescent="0.3">
      <c r="B25" s="31"/>
      <c r="C25" s="27"/>
      <c r="D25" s="27"/>
      <c r="E25" s="27"/>
      <c r="F25" s="27"/>
      <c r="G25" s="27"/>
      <c r="H25" s="28"/>
      <c r="J25" s="114" t="s">
        <v>100</v>
      </c>
      <c r="K25" s="115"/>
      <c r="L25" s="28">
        <f>K23-K24</f>
        <v>0</v>
      </c>
      <c r="T25" s="32"/>
      <c r="U25" s="34">
        <v>20</v>
      </c>
      <c r="V25" s="34">
        <v>60</v>
      </c>
      <c r="W25" s="34" t="s">
        <v>72</v>
      </c>
      <c r="X25" s="34">
        <v>20</v>
      </c>
      <c r="Y25" s="34">
        <v>60</v>
      </c>
      <c r="Z25" s="35"/>
      <c r="AC25" s="31"/>
      <c r="AD25" s="31"/>
      <c r="AE25" s="27"/>
      <c r="AF25" s="121" t="s">
        <v>151</v>
      </c>
      <c r="AG25" s="121"/>
      <c r="AH25" s="121"/>
      <c r="AI25" s="121"/>
      <c r="AJ25" s="72"/>
      <c r="AK25" s="27"/>
      <c r="AL25" s="32"/>
      <c r="AM25" s="34"/>
      <c r="AN25" s="34"/>
      <c r="AO25" s="34"/>
      <c r="AP25" s="34"/>
      <c r="AQ25" s="34"/>
      <c r="AR25" s="35"/>
      <c r="AS25" s="28"/>
    </row>
    <row r="26" spans="2:45" ht="15.75" thickBot="1" x14ac:dyDescent="0.3">
      <c r="B26" s="31"/>
      <c r="C26" s="27"/>
      <c r="D26" s="27"/>
      <c r="E26" s="27"/>
      <c r="F26" s="27"/>
      <c r="G26" s="27"/>
      <c r="H26" s="28"/>
      <c r="J26" s="48" t="s">
        <v>101</v>
      </c>
      <c r="K26" s="116" t="s">
        <v>102</v>
      </c>
      <c r="L26" s="117"/>
      <c r="AC26" s="31"/>
      <c r="AD26" s="31"/>
      <c r="AE26" s="67" t="s">
        <v>150</v>
      </c>
      <c r="AF26" s="121" t="s">
        <v>167</v>
      </c>
      <c r="AG26" s="121"/>
      <c r="AH26" s="121"/>
      <c r="AI26" s="121"/>
      <c r="AJ26" s="72"/>
      <c r="AK26" s="27"/>
      <c r="AL26" s="27"/>
      <c r="AM26" s="27"/>
      <c r="AN26" s="27"/>
      <c r="AO26" s="27"/>
      <c r="AP26" s="27"/>
      <c r="AQ26" s="27"/>
      <c r="AR26" s="27"/>
      <c r="AS26" s="28"/>
    </row>
    <row r="27" spans="2:45" ht="15.75" thickBot="1" x14ac:dyDescent="0.3">
      <c r="B27" s="31"/>
      <c r="C27" s="27"/>
      <c r="D27" s="27"/>
      <c r="E27" s="27"/>
      <c r="F27" s="27"/>
      <c r="G27" s="27"/>
      <c r="H27" s="28"/>
      <c r="AC27" s="31"/>
      <c r="AD27" s="31"/>
      <c r="AE27" s="27" t="s">
        <v>155</v>
      </c>
      <c r="AF27" s="122" t="s">
        <v>168</v>
      </c>
      <c r="AG27" s="122"/>
      <c r="AH27" s="122"/>
      <c r="AI27" s="122"/>
      <c r="AJ27" s="72"/>
      <c r="AK27" s="27"/>
      <c r="AL27" s="108" t="s">
        <v>182</v>
      </c>
      <c r="AM27" s="109"/>
      <c r="AN27" s="109"/>
      <c r="AO27" s="109"/>
      <c r="AP27" s="109"/>
      <c r="AQ27" s="109"/>
      <c r="AR27" s="110"/>
      <c r="AS27" s="28"/>
    </row>
    <row r="28" spans="2:45" x14ac:dyDescent="0.25">
      <c r="B28" s="31"/>
      <c r="C28" s="27"/>
      <c r="D28" s="27"/>
      <c r="E28" s="27"/>
      <c r="F28" s="27"/>
      <c r="G28" s="27"/>
      <c r="H28" s="28"/>
      <c r="J28" s="108" t="s">
        <v>103</v>
      </c>
      <c r="K28" s="109"/>
      <c r="L28" s="109"/>
      <c r="M28" s="109"/>
      <c r="N28" s="109"/>
      <c r="O28" s="109"/>
      <c r="P28" s="109"/>
      <c r="Q28" s="109"/>
      <c r="R28" s="110"/>
      <c r="AC28" s="31"/>
      <c r="AD28" s="31"/>
      <c r="AE28" s="27"/>
      <c r="AF28" s="27"/>
      <c r="AG28" s="27"/>
      <c r="AH28" s="27"/>
      <c r="AI28" s="27"/>
      <c r="AJ28" s="28"/>
      <c r="AK28" s="27"/>
      <c r="AL28" s="31"/>
      <c r="AM28" s="27"/>
      <c r="AN28" s="27"/>
      <c r="AO28" s="27"/>
      <c r="AP28" s="27"/>
      <c r="AQ28" s="27"/>
      <c r="AR28" s="28"/>
      <c r="AS28" s="28"/>
    </row>
    <row r="29" spans="2:45" x14ac:dyDescent="0.25">
      <c r="B29" s="31"/>
      <c r="C29" s="27"/>
      <c r="D29" s="27"/>
      <c r="E29" s="27"/>
      <c r="F29" s="27"/>
      <c r="G29" s="27"/>
      <c r="H29" s="28"/>
      <c r="J29" s="111" t="s">
        <v>113</v>
      </c>
      <c r="K29" s="112"/>
      <c r="L29" s="112"/>
      <c r="M29" s="112"/>
      <c r="N29" s="112"/>
      <c r="O29" s="27" t="s">
        <v>72</v>
      </c>
      <c r="P29" s="112" t="s">
        <v>104</v>
      </c>
      <c r="Q29" s="112"/>
      <c r="R29" s="113"/>
      <c r="AC29" s="31"/>
      <c r="AD29" s="31"/>
      <c r="AE29" s="27" t="s">
        <v>154</v>
      </c>
      <c r="AF29" s="44" t="s">
        <v>152</v>
      </c>
      <c r="AG29" s="27"/>
      <c r="AH29" s="27"/>
      <c r="AI29" s="27"/>
      <c r="AJ29" s="28"/>
      <c r="AK29" s="27"/>
      <c r="AL29" s="31"/>
      <c r="AM29" s="121" t="s">
        <v>151</v>
      </c>
      <c r="AN29" s="121"/>
      <c r="AO29" s="121"/>
      <c r="AP29" s="121"/>
      <c r="AQ29" s="121"/>
      <c r="AR29" s="28"/>
      <c r="AS29" s="28"/>
    </row>
    <row r="30" spans="2:45" x14ac:dyDescent="0.25">
      <c r="B30" s="31"/>
      <c r="C30" s="27"/>
      <c r="D30" s="27"/>
      <c r="E30" s="27"/>
      <c r="F30" s="27"/>
      <c r="G30" s="27"/>
      <c r="H30" s="28"/>
      <c r="J30" s="31"/>
      <c r="K30" s="27"/>
      <c r="L30" s="27"/>
      <c r="M30" s="27"/>
      <c r="N30" s="27"/>
      <c r="O30" s="27" t="s">
        <v>72</v>
      </c>
      <c r="P30" s="49">
        <v>180</v>
      </c>
      <c r="Q30" s="27"/>
      <c r="R30" s="28"/>
      <c r="AC30" s="31"/>
      <c r="AD30" s="31"/>
      <c r="AE30" s="27" t="s">
        <v>156</v>
      </c>
      <c r="AF30" s="44" t="s">
        <v>157</v>
      </c>
      <c r="AG30" s="27"/>
      <c r="AH30" s="27"/>
      <c r="AI30" s="27"/>
      <c r="AJ30" s="28"/>
      <c r="AK30" s="27"/>
      <c r="AL30" s="31"/>
      <c r="AM30" s="121" t="s">
        <v>183</v>
      </c>
      <c r="AN30" s="121"/>
      <c r="AO30" s="121"/>
      <c r="AP30" s="121"/>
      <c r="AQ30" s="121"/>
      <c r="AR30" s="28"/>
      <c r="AS30" s="28"/>
    </row>
    <row r="31" spans="2:45" x14ac:dyDescent="0.25">
      <c r="B31" s="31"/>
      <c r="C31" s="27"/>
      <c r="D31" s="27"/>
      <c r="E31" s="27"/>
      <c r="F31" s="27"/>
      <c r="G31" s="27"/>
      <c r="H31" s="28"/>
      <c r="J31" s="31"/>
      <c r="K31" s="27"/>
      <c r="L31" s="27"/>
      <c r="M31" s="27"/>
      <c r="N31" s="27"/>
      <c r="O31" s="27"/>
      <c r="P31" s="27"/>
      <c r="Q31" s="27"/>
      <c r="R31" s="28"/>
      <c r="AC31" s="31"/>
      <c r="AD31" s="31"/>
      <c r="AE31" s="27"/>
      <c r="AF31" s="27"/>
      <c r="AG31" s="27"/>
      <c r="AH31" s="27"/>
      <c r="AI31" s="27"/>
      <c r="AJ31" s="28"/>
      <c r="AK31" s="27"/>
      <c r="AL31" s="31"/>
      <c r="AM31" s="121" t="s">
        <v>184</v>
      </c>
      <c r="AN31" s="121"/>
      <c r="AO31" s="121"/>
      <c r="AP31" s="121"/>
      <c r="AQ31" s="121"/>
      <c r="AR31" s="28"/>
      <c r="AS31" s="28"/>
    </row>
    <row r="32" spans="2:45" x14ac:dyDescent="0.25">
      <c r="B32" s="31"/>
      <c r="C32" s="27"/>
      <c r="D32" s="27"/>
      <c r="E32" s="27"/>
      <c r="F32" s="27"/>
      <c r="G32" s="27"/>
      <c r="H32" s="28"/>
      <c r="J32" s="111" t="s">
        <v>145</v>
      </c>
      <c r="K32" s="112"/>
      <c r="L32" s="27" t="s">
        <v>72</v>
      </c>
      <c r="M32" s="112" t="s">
        <v>105</v>
      </c>
      <c r="N32" s="112"/>
      <c r="O32" s="112"/>
      <c r="P32" s="112"/>
      <c r="Q32" s="27"/>
      <c r="R32" s="28"/>
      <c r="AC32" s="31"/>
      <c r="AD32" s="31"/>
      <c r="AE32" s="67" t="s">
        <v>150</v>
      </c>
      <c r="AF32" s="27" t="s">
        <v>171</v>
      </c>
      <c r="AG32" s="27" t="s">
        <v>155</v>
      </c>
      <c r="AH32" s="27" t="s">
        <v>170</v>
      </c>
      <c r="AI32" s="27"/>
      <c r="AJ32" s="28"/>
      <c r="AK32" s="27"/>
      <c r="AL32" s="31"/>
      <c r="AM32" s="27"/>
      <c r="AN32" s="27"/>
      <c r="AO32" s="27"/>
      <c r="AP32" s="27"/>
      <c r="AQ32" s="27"/>
      <c r="AR32" s="28"/>
      <c r="AS32" s="28"/>
    </row>
    <row r="33" spans="2:45" ht="15.75" thickBot="1" x14ac:dyDescent="0.3">
      <c r="B33" s="32"/>
      <c r="C33" s="34"/>
      <c r="D33" s="34"/>
      <c r="E33" s="34"/>
      <c r="F33" s="34"/>
      <c r="G33" s="34"/>
      <c r="H33" s="35"/>
      <c r="J33" s="31"/>
      <c r="K33" s="27"/>
      <c r="L33" s="27" t="s">
        <v>72</v>
      </c>
      <c r="M33" s="27" t="s">
        <v>114</v>
      </c>
      <c r="N33" s="27" t="s">
        <v>45</v>
      </c>
      <c r="O33" s="27" t="s">
        <v>115</v>
      </c>
      <c r="P33" s="27" t="s">
        <v>45</v>
      </c>
      <c r="Q33" s="27" t="s">
        <v>107</v>
      </c>
      <c r="R33" s="28"/>
      <c r="AC33" s="31"/>
      <c r="AD33" s="31"/>
      <c r="AE33" s="27"/>
      <c r="AF33" s="27" t="s">
        <v>172</v>
      </c>
      <c r="AG33" s="27"/>
      <c r="AH33" s="27" t="s">
        <v>173</v>
      </c>
      <c r="AI33" s="27"/>
      <c r="AJ33" s="28"/>
      <c r="AK33" s="27"/>
      <c r="AL33" s="31"/>
      <c r="AM33" s="68">
        <v>20</v>
      </c>
      <c r="AN33" s="71" t="s">
        <v>51</v>
      </c>
      <c r="AO33" s="68" t="s">
        <v>186</v>
      </c>
      <c r="AP33" s="71" t="s">
        <v>51</v>
      </c>
      <c r="AQ33" s="68" t="s">
        <v>185</v>
      </c>
      <c r="AR33" s="28"/>
      <c r="AS33" s="28"/>
    </row>
    <row r="34" spans="2:45" ht="15.75" thickBot="1" x14ac:dyDescent="0.3">
      <c r="J34" s="31"/>
      <c r="K34" s="27"/>
      <c r="L34" s="27" t="s">
        <v>72</v>
      </c>
      <c r="M34" s="27">
        <v>3</v>
      </c>
      <c r="N34" s="27"/>
      <c r="O34" s="27"/>
      <c r="P34" s="27"/>
      <c r="Q34" s="27"/>
      <c r="R34" s="28"/>
      <c r="AC34" s="31"/>
      <c r="AD34" s="31"/>
      <c r="AE34" s="27"/>
      <c r="AF34" s="27"/>
      <c r="AG34" s="27"/>
      <c r="AH34" s="27"/>
      <c r="AI34" s="27"/>
      <c r="AJ34" s="28"/>
      <c r="AK34" s="27"/>
      <c r="AL34" s="31"/>
      <c r="AM34" s="68">
        <v>-20</v>
      </c>
      <c r="AN34" s="71" t="s">
        <v>51</v>
      </c>
      <c r="AO34" s="70" t="s">
        <v>165</v>
      </c>
      <c r="AP34" s="71" t="s">
        <v>51</v>
      </c>
      <c r="AQ34" s="69" t="s">
        <v>185</v>
      </c>
      <c r="AR34" s="28"/>
      <c r="AS34" s="28"/>
    </row>
    <row r="35" spans="2:45" ht="15.75" thickBot="1" x14ac:dyDescent="0.3">
      <c r="B35" s="108" t="s">
        <v>192</v>
      </c>
      <c r="C35" s="109"/>
      <c r="D35" s="109"/>
      <c r="E35" s="109"/>
      <c r="F35" s="109"/>
      <c r="G35" s="110"/>
      <c r="J35" s="31"/>
      <c r="K35" s="27"/>
      <c r="L35" s="27"/>
      <c r="M35" s="27"/>
      <c r="N35" s="27"/>
      <c r="O35" s="27"/>
      <c r="P35" s="27"/>
      <c r="Q35" s="27"/>
      <c r="R35" s="28"/>
      <c r="AC35" s="31"/>
      <c r="AD35" s="31"/>
      <c r="AE35" s="68">
        <v>1.5</v>
      </c>
      <c r="AF35" s="71" t="s">
        <v>51</v>
      </c>
      <c r="AG35" s="68" t="s">
        <v>169</v>
      </c>
      <c r="AH35" s="71" t="s">
        <v>51</v>
      </c>
      <c r="AI35" s="68">
        <v>3</v>
      </c>
      <c r="AJ35" s="28"/>
      <c r="AK35" s="27"/>
      <c r="AL35" s="32"/>
      <c r="AM35" s="34"/>
      <c r="AN35" s="34"/>
      <c r="AO35" s="34"/>
      <c r="AP35" s="34"/>
      <c r="AQ35" s="34"/>
      <c r="AR35" s="35"/>
      <c r="AS35" s="28"/>
    </row>
    <row r="36" spans="2:45" x14ac:dyDescent="0.25">
      <c r="B36" s="8"/>
      <c r="C36" s="96" t="s">
        <v>1</v>
      </c>
      <c r="D36" s="96" t="s">
        <v>2</v>
      </c>
      <c r="E36" s="96" t="s">
        <v>7</v>
      </c>
      <c r="F36" s="96" t="s">
        <v>5</v>
      </c>
      <c r="G36" s="97" t="s">
        <v>6</v>
      </c>
      <c r="J36" s="111" t="s">
        <v>146</v>
      </c>
      <c r="K36" s="112"/>
      <c r="L36" s="27" t="s">
        <v>72</v>
      </c>
      <c r="M36" s="112" t="s">
        <v>106</v>
      </c>
      <c r="N36" s="112"/>
      <c r="O36" s="112"/>
      <c r="P36" s="112"/>
      <c r="Q36" s="27"/>
      <c r="R36" s="28"/>
      <c r="AC36" s="31"/>
      <c r="AD36" s="31"/>
      <c r="AE36" s="68">
        <v>-0.5</v>
      </c>
      <c r="AF36" s="71" t="s">
        <v>51</v>
      </c>
      <c r="AG36" s="70" t="s">
        <v>165</v>
      </c>
      <c r="AH36" s="71" t="s">
        <v>51</v>
      </c>
      <c r="AI36" s="69">
        <v>1</v>
      </c>
      <c r="AJ36" s="28"/>
      <c r="AK36" s="27"/>
      <c r="AL36" s="27"/>
      <c r="AM36" s="27"/>
      <c r="AN36" s="27"/>
      <c r="AO36" s="27"/>
      <c r="AP36" s="27"/>
      <c r="AQ36" s="27"/>
      <c r="AR36" s="27"/>
      <c r="AS36" s="28"/>
    </row>
    <row r="37" spans="2:45" ht="15.75" thickBot="1" x14ac:dyDescent="0.3">
      <c r="B37" s="4" t="s">
        <v>0</v>
      </c>
      <c r="C37" s="5">
        <v>3</v>
      </c>
      <c r="D37" s="5">
        <v>2</v>
      </c>
      <c r="E37" s="5"/>
      <c r="F37" s="5"/>
      <c r="G37" s="6"/>
      <c r="J37" s="31"/>
      <c r="K37" s="27"/>
      <c r="L37" s="27" t="s">
        <v>72</v>
      </c>
      <c r="M37" s="27" t="s">
        <v>115</v>
      </c>
      <c r="N37" s="27" t="s">
        <v>45</v>
      </c>
      <c r="O37" s="27" t="s">
        <v>115</v>
      </c>
      <c r="P37" s="27" t="s">
        <v>45</v>
      </c>
      <c r="Q37" s="27" t="s">
        <v>116</v>
      </c>
      <c r="R37" s="28"/>
      <c r="AC37" s="31"/>
      <c r="AD37" s="32"/>
      <c r="AE37" s="34"/>
      <c r="AF37" s="34"/>
      <c r="AG37" s="34"/>
      <c r="AH37" s="34"/>
      <c r="AI37" s="34"/>
      <c r="AJ37" s="35"/>
      <c r="AK37" s="27"/>
      <c r="AL37" s="27"/>
      <c r="AM37" s="27"/>
      <c r="AN37" s="27"/>
      <c r="AO37" s="27"/>
      <c r="AP37" s="27"/>
      <c r="AQ37" s="27"/>
      <c r="AR37" s="27"/>
      <c r="AS37" s="28"/>
    </row>
    <row r="38" spans="2:45" ht="15.75" thickBot="1" x14ac:dyDescent="0.3">
      <c r="B38" s="8"/>
      <c r="C38" s="5"/>
      <c r="D38" s="5"/>
      <c r="E38" s="5"/>
      <c r="F38" s="5"/>
      <c r="G38" s="6"/>
      <c r="J38" s="32"/>
      <c r="K38" s="34"/>
      <c r="L38" s="57" t="s">
        <v>72</v>
      </c>
      <c r="M38" s="34">
        <v>2</v>
      </c>
      <c r="N38" s="34"/>
      <c r="O38" s="34"/>
      <c r="P38" s="34"/>
      <c r="Q38" s="34"/>
      <c r="R38" s="35"/>
      <c r="AC38" s="32"/>
      <c r="AD38" s="34"/>
      <c r="AE38" s="34"/>
      <c r="AF38" s="34"/>
      <c r="AG38" s="34"/>
      <c r="AH38" s="34"/>
      <c r="AI38" s="34"/>
      <c r="AJ38" s="34"/>
      <c r="AK38" s="34"/>
      <c r="AL38" s="34"/>
      <c r="AM38" s="34"/>
      <c r="AN38" s="34"/>
      <c r="AO38" s="34"/>
      <c r="AP38" s="34"/>
      <c r="AQ38" s="34"/>
      <c r="AR38" s="34"/>
      <c r="AS38" s="35"/>
    </row>
    <row r="39" spans="2:45" x14ac:dyDescent="0.25">
      <c r="B39" s="4" t="s">
        <v>3</v>
      </c>
      <c r="C39" s="5"/>
      <c r="D39" s="5"/>
      <c r="E39" s="5"/>
      <c r="F39" s="5"/>
      <c r="G39" s="6"/>
    </row>
    <row r="40" spans="2:45" x14ac:dyDescent="0.25">
      <c r="B40" s="4">
        <v>1</v>
      </c>
      <c r="C40" s="5">
        <v>2</v>
      </c>
      <c r="D40" s="5">
        <v>1</v>
      </c>
      <c r="E40" s="5">
        <f>SUMPRODUCT(C40:D40,$C$44:$D$44)</f>
        <v>100</v>
      </c>
      <c r="F40" s="5" t="s">
        <v>4</v>
      </c>
      <c r="G40" s="6">
        <v>100</v>
      </c>
    </row>
    <row r="41" spans="2:45" x14ac:dyDescent="0.25">
      <c r="B41" s="4">
        <v>2</v>
      </c>
      <c r="C41" s="5">
        <v>1</v>
      </c>
      <c r="D41" s="5">
        <v>1</v>
      </c>
      <c r="E41" s="5">
        <f>SUMPRODUCT(C41:D41,$C$44:$D$44)</f>
        <v>80</v>
      </c>
      <c r="F41" s="5" t="s">
        <v>4</v>
      </c>
      <c r="G41" s="6">
        <v>80</v>
      </c>
    </row>
    <row r="42" spans="2:45" x14ac:dyDescent="0.25">
      <c r="B42" s="4">
        <v>3</v>
      </c>
      <c r="C42" s="5">
        <v>1</v>
      </c>
      <c r="D42" s="5">
        <v>0</v>
      </c>
      <c r="E42" s="5">
        <f>SUMPRODUCT(C42:D42,$C$44:$D$44)</f>
        <v>20</v>
      </c>
      <c r="F42" s="5" t="s">
        <v>4</v>
      </c>
      <c r="G42" s="6">
        <v>40</v>
      </c>
    </row>
    <row r="43" spans="2:45" x14ac:dyDescent="0.25">
      <c r="B43" s="8"/>
      <c r="C43" s="5"/>
      <c r="D43" s="5"/>
      <c r="E43" s="5"/>
      <c r="F43" s="5"/>
      <c r="G43" s="6"/>
    </row>
    <row r="44" spans="2:45" x14ac:dyDescent="0.25">
      <c r="B44" s="4" t="s">
        <v>8</v>
      </c>
      <c r="C44" s="5">
        <v>20</v>
      </c>
      <c r="D44" s="5">
        <v>60</v>
      </c>
      <c r="E44" s="5"/>
      <c r="F44" s="5"/>
      <c r="G44" s="6"/>
    </row>
    <row r="45" spans="2:45" ht="15.75" thickBot="1" x14ac:dyDescent="0.3">
      <c r="B45" s="13" t="s">
        <v>9</v>
      </c>
      <c r="C45" s="14">
        <f>SUMPRODUCT(C37:D37,C44:D44)</f>
        <v>180</v>
      </c>
      <c r="D45" s="14"/>
      <c r="E45" s="14"/>
      <c r="F45" s="14"/>
      <c r="G45" s="15"/>
    </row>
  </sheetData>
  <mergeCells count="41">
    <mergeCell ref="AC5:AS5"/>
    <mergeCell ref="AD7:AJ7"/>
    <mergeCell ref="AF25:AI25"/>
    <mergeCell ref="AM9:AQ9"/>
    <mergeCell ref="AM10:AQ10"/>
    <mergeCell ref="AM11:AQ11"/>
    <mergeCell ref="AL7:AR7"/>
    <mergeCell ref="AL17:AR17"/>
    <mergeCell ref="AM19:AQ19"/>
    <mergeCell ref="AM20:AQ20"/>
    <mergeCell ref="AF11:AI11"/>
    <mergeCell ref="AM21:AQ21"/>
    <mergeCell ref="AF10:AI10"/>
    <mergeCell ref="AF9:AI9"/>
    <mergeCell ref="AD23:AJ23"/>
    <mergeCell ref="AM29:AQ29"/>
    <mergeCell ref="AM30:AQ30"/>
    <mergeCell ref="AM31:AQ31"/>
    <mergeCell ref="AF27:AI27"/>
    <mergeCell ref="AF26:AI26"/>
    <mergeCell ref="AL27:AR27"/>
    <mergeCell ref="T20:Z20"/>
    <mergeCell ref="T13:W13"/>
    <mergeCell ref="B2:Z2"/>
    <mergeCell ref="B3:Z3"/>
    <mergeCell ref="B15:H15"/>
    <mergeCell ref="B5:H5"/>
    <mergeCell ref="T5:X5"/>
    <mergeCell ref="J36:K36"/>
    <mergeCell ref="M36:P36"/>
    <mergeCell ref="J14:P14"/>
    <mergeCell ref="J22:L22"/>
    <mergeCell ref="J25:K25"/>
    <mergeCell ref="K26:L26"/>
    <mergeCell ref="J28:R28"/>
    <mergeCell ref="B35:G35"/>
    <mergeCell ref="J5:R5"/>
    <mergeCell ref="J29:N29"/>
    <mergeCell ref="P29:R29"/>
    <mergeCell ref="J32:K32"/>
    <mergeCell ref="M32:P32"/>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showGridLines="0" workbookViewId="0"/>
  </sheetViews>
  <sheetFormatPr defaultRowHeight="15" x14ac:dyDescent="0.25"/>
  <cols>
    <col min="1" max="1" width="2.28515625" customWidth="1"/>
    <col min="2" max="2" width="6.28515625" bestFit="1" customWidth="1"/>
    <col min="3" max="3" width="19.28515625" bestFit="1" customWidth="1"/>
    <col min="4" max="4" width="6.140625" customWidth="1"/>
    <col min="5" max="5" width="8.7109375" bestFit="1" customWidth="1"/>
    <col min="6" max="6" width="10.85546875" bestFit="1" customWidth="1"/>
    <col min="7" max="8" width="10" bestFit="1" customWidth="1"/>
  </cols>
  <sheetData>
    <row r="1" spans="1:8" x14ac:dyDescent="0.25">
      <c r="A1" s="21" t="s">
        <v>16</v>
      </c>
    </row>
    <row r="2" spans="1:8" x14ac:dyDescent="0.25">
      <c r="A2" s="21" t="s">
        <v>17</v>
      </c>
    </row>
    <row r="3" spans="1:8" x14ac:dyDescent="0.25">
      <c r="A3" s="21" t="s">
        <v>18</v>
      </c>
    </row>
    <row r="6" spans="1:8" ht="15.75" thickBot="1" x14ac:dyDescent="0.3">
      <c r="A6" t="s">
        <v>19</v>
      </c>
    </row>
    <row r="7" spans="1:8" x14ac:dyDescent="0.25">
      <c r="B7" s="24"/>
      <c r="C7" s="24"/>
      <c r="D7" s="24" t="s">
        <v>22</v>
      </c>
      <c r="E7" s="24" t="s">
        <v>24</v>
      </c>
      <c r="F7" s="24" t="s">
        <v>26</v>
      </c>
      <c r="G7" s="24" t="s">
        <v>28</v>
      </c>
      <c r="H7" s="24" t="s">
        <v>28</v>
      </c>
    </row>
    <row r="8" spans="1:8" ht="15.75" thickBot="1" x14ac:dyDescent="0.3">
      <c r="B8" s="25" t="s">
        <v>20</v>
      </c>
      <c r="C8" s="25" t="s">
        <v>21</v>
      </c>
      <c r="D8" s="25" t="s">
        <v>23</v>
      </c>
      <c r="E8" s="25" t="s">
        <v>25</v>
      </c>
      <c r="F8" s="25" t="s">
        <v>27</v>
      </c>
      <c r="G8" s="25" t="s">
        <v>29</v>
      </c>
      <c r="H8" s="25" t="s">
        <v>30</v>
      </c>
    </row>
    <row r="9" spans="1:8" x14ac:dyDescent="0.25">
      <c r="B9" s="22" t="s">
        <v>35</v>
      </c>
      <c r="C9" s="22" t="s">
        <v>36</v>
      </c>
      <c r="D9" s="22">
        <v>20</v>
      </c>
      <c r="E9" s="22">
        <v>0</v>
      </c>
      <c r="F9" s="22">
        <v>3</v>
      </c>
      <c r="G9" s="22">
        <v>1</v>
      </c>
      <c r="H9" s="22">
        <v>1</v>
      </c>
    </row>
    <row r="10" spans="1:8" ht="15.75" thickBot="1" x14ac:dyDescent="0.3">
      <c r="B10" s="23" t="s">
        <v>37</v>
      </c>
      <c r="C10" s="23" t="s">
        <v>38</v>
      </c>
      <c r="D10" s="23">
        <v>60</v>
      </c>
      <c r="E10" s="23">
        <v>0</v>
      </c>
      <c r="F10" s="23">
        <v>2</v>
      </c>
      <c r="G10" s="23">
        <v>1</v>
      </c>
      <c r="H10" s="23">
        <v>0.5</v>
      </c>
    </row>
    <row r="12" spans="1:8" ht="15.75" thickBot="1" x14ac:dyDescent="0.3">
      <c r="A12" t="s">
        <v>31</v>
      </c>
    </row>
    <row r="13" spans="1:8" x14ac:dyDescent="0.25">
      <c r="B13" s="24"/>
      <c r="C13" s="24"/>
      <c r="D13" s="24" t="s">
        <v>22</v>
      </c>
      <c r="E13" s="24" t="s">
        <v>32</v>
      </c>
      <c r="F13" s="24" t="s">
        <v>6</v>
      </c>
      <c r="G13" s="24" t="s">
        <v>28</v>
      </c>
      <c r="H13" s="24" t="s">
        <v>28</v>
      </c>
    </row>
    <row r="14" spans="1:8" ht="15.75" thickBot="1" x14ac:dyDescent="0.3">
      <c r="B14" s="25" t="s">
        <v>20</v>
      </c>
      <c r="C14" s="25" t="s">
        <v>21</v>
      </c>
      <c r="D14" s="25" t="s">
        <v>23</v>
      </c>
      <c r="E14" s="25" t="s">
        <v>33</v>
      </c>
      <c r="F14" s="25" t="s">
        <v>34</v>
      </c>
      <c r="G14" s="25" t="s">
        <v>29</v>
      </c>
      <c r="H14" s="25" t="s">
        <v>30</v>
      </c>
    </row>
    <row r="15" spans="1:8" x14ac:dyDescent="0.25">
      <c r="B15" s="22" t="s">
        <v>39</v>
      </c>
      <c r="C15" s="22" t="s">
        <v>7</v>
      </c>
      <c r="D15" s="22">
        <v>100</v>
      </c>
      <c r="E15" s="22">
        <v>1</v>
      </c>
      <c r="F15" s="22">
        <v>100</v>
      </c>
      <c r="G15" s="22">
        <v>20</v>
      </c>
      <c r="H15" s="22">
        <v>20</v>
      </c>
    </row>
    <row r="16" spans="1:8" x14ac:dyDescent="0.25">
      <c r="B16" s="22" t="s">
        <v>40</v>
      </c>
      <c r="C16" s="22" t="s">
        <v>7</v>
      </c>
      <c r="D16" s="22">
        <v>80</v>
      </c>
      <c r="E16" s="22">
        <v>1</v>
      </c>
      <c r="F16" s="22">
        <v>80</v>
      </c>
      <c r="G16" s="22">
        <v>20</v>
      </c>
      <c r="H16" s="22">
        <v>20</v>
      </c>
    </row>
    <row r="17" spans="2:8" ht="15.75" thickBot="1" x14ac:dyDescent="0.3">
      <c r="B17" s="23" t="s">
        <v>41</v>
      </c>
      <c r="C17" s="23" t="s">
        <v>7</v>
      </c>
      <c r="D17" s="23">
        <v>20</v>
      </c>
      <c r="E17" s="23">
        <v>0</v>
      </c>
      <c r="F17" s="23">
        <v>40</v>
      </c>
      <c r="G17" s="23">
        <v>1E+30</v>
      </c>
      <c r="H17" s="23">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U27"/>
  <sheetViews>
    <sheetView zoomScale="55" zoomScaleNormal="55" workbookViewId="0"/>
  </sheetViews>
  <sheetFormatPr defaultRowHeight="15" x14ac:dyDescent="0.25"/>
  <cols>
    <col min="1" max="1" width="2.85546875" customWidth="1"/>
    <col min="2" max="2" width="5.85546875" bestFit="1" customWidth="1"/>
    <col min="3" max="7" width="4.85546875" bestFit="1" customWidth="1"/>
    <col min="8" max="8" width="5.85546875" bestFit="1" customWidth="1"/>
    <col min="9" max="9" width="2.7109375" bestFit="1" customWidth="1"/>
    <col min="10" max="10" width="5.5703125" bestFit="1" customWidth="1"/>
    <col min="11" max="12" width="3.7109375" bestFit="1" customWidth="1"/>
    <col min="13" max="13" width="5.5703125" bestFit="1" customWidth="1"/>
    <col min="14" max="14" width="4" bestFit="1" customWidth="1"/>
    <col min="15" max="15" width="6.85546875" bestFit="1" customWidth="1"/>
    <col min="16" max="16" width="3.140625" customWidth="1"/>
    <col min="17" max="18" width="4" bestFit="1" customWidth="1"/>
    <col min="19" max="19" width="3.7109375" bestFit="1" customWidth="1"/>
    <col min="20" max="20" width="3" bestFit="1" customWidth="1"/>
    <col min="21" max="21" width="2.7109375" bestFit="1" customWidth="1"/>
    <col min="22" max="23" width="3.7109375" bestFit="1" customWidth="1"/>
    <col min="24" max="24" width="3" bestFit="1" customWidth="1"/>
    <col min="25" max="25" width="2.7109375" bestFit="1" customWidth="1"/>
    <col min="26" max="27" width="3" bestFit="1" customWidth="1"/>
    <col min="28" max="28" width="2.7109375" bestFit="1" customWidth="1"/>
    <col min="29" max="29" width="4.28515625" bestFit="1" customWidth="1"/>
    <col min="30" max="30" width="3.7109375" bestFit="1" customWidth="1"/>
    <col min="31" max="31" width="3" bestFit="1" customWidth="1"/>
    <col min="32" max="32" width="2.7109375" customWidth="1"/>
    <col min="33" max="33" width="5.5703125" bestFit="1" customWidth="1"/>
    <col min="34" max="34" width="3" bestFit="1" customWidth="1"/>
    <col min="35" max="35" width="2.7109375" bestFit="1" customWidth="1"/>
    <col min="36" max="36" width="5.5703125" bestFit="1" customWidth="1"/>
    <col min="37" max="38" width="3" bestFit="1" customWidth="1"/>
    <col min="39" max="39" width="2.7109375" bestFit="1" customWidth="1"/>
    <col min="40" max="40" width="5.5703125" bestFit="1" customWidth="1"/>
    <col min="41" max="41" width="2.42578125" bestFit="1" customWidth="1"/>
    <col min="42" max="42" width="3" bestFit="1" customWidth="1"/>
    <col min="43" max="43" width="3.5703125" customWidth="1"/>
    <col min="44" max="44" width="2.7109375" bestFit="1" customWidth="1"/>
    <col min="45" max="47" width="3" bestFit="1" customWidth="1"/>
    <col min="48" max="48" width="3.42578125" customWidth="1"/>
    <col min="52" max="52" width="3.7109375" customWidth="1"/>
  </cols>
  <sheetData>
    <row r="1" spans="2:47" ht="15.75" thickBot="1" x14ac:dyDescent="0.3">
      <c r="AA1" s="42"/>
    </row>
    <row r="2" spans="2:47" x14ac:dyDescent="0.25">
      <c r="B2" s="108" t="s">
        <v>198</v>
      </c>
      <c r="C2" s="109"/>
      <c r="D2" s="109"/>
      <c r="E2" s="109"/>
      <c r="F2" s="109"/>
      <c r="G2" s="109"/>
      <c r="H2" s="109"/>
      <c r="I2" s="109"/>
      <c r="J2" s="109"/>
      <c r="K2" s="110"/>
      <c r="M2" s="108" t="s">
        <v>89</v>
      </c>
      <c r="N2" s="110"/>
      <c r="O2" s="41"/>
      <c r="Q2" s="123" t="s">
        <v>88</v>
      </c>
      <c r="R2" s="124"/>
      <c r="S2" s="125"/>
      <c r="U2" s="108" t="s">
        <v>73</v>
      </c>
      <c r="V2" s="109"/>
      <c r="W2" s="109"/>
      <c r="X2" s="109"/>
      <c r="Y2" s="109"/>
      <c r="Z2" s="110"/>
      <c r="AB2" s="108" t="s">
        <v>76</v>
      </c>
      <c r="AC2" s="109"/>
      <c r="AD2" s="109"/>
      <c r="AE2" s="109"/>
      <c r="AF2" s="109"/>
      <c r="AG2" s="110"/>
      <c r="AI2" s="123" t="s">
        <v>79</v>
      </c>
      <c r="AJ2" s="124"/>
      <c r="AK2" s="124"/>
      <c r="AL2" s="124"/>
      <c r="AM2" s="124"/>
      <c r="AN2" s="124"/>
      <c r="AO2" s="124"/>
      <c r="AP2" s="125"/>
      <c r="AR2" s="108" t="s">
        <v>80</v>
      </c>
      <c r="AS2" s="109"/>
      <c r="AT2" s="109"/>
      <c r="AU2" s="110"/>
    </row>
    <row r="3" spans="2:47" ht="15.75" thickBot="1" x14ac:dyDescent="0.3">
      <c r="B3" s="30"/>
      <c r="C3" s="27"/>
      <c r="D3" s="27"/>
      <c r="E3" s="27"/>
      <c r="F3" s="27"/>
      <c r="G3" s="5"/>
      <c r="H3" s="5"/>
      <c r="I3" s="27"/>
      <c r="J3" s="27"/>
      <c r="K3" s="28"/>
      <c r="M3" s="32" t="s">
        <v>12</v>
      </c>
      <c r="N3" s="35" t="s">
        <v>13</v>
      </c>
      <c r="Q3" s="32" t="s">
        <v>11</v>
      </c>
      <c r="R3" s="34" t="s">
        <v>14</v>
      </c>
      <c r="S3" s="35" t="s">
        <v>10</v>
      </c>
      <c r="U3" s="31"/>
      <c r="V3" s="27">
        <f t="array" ref="V3:X5">Q19:S21</f>
        <v>-1</v>
      </c>
      <c r="W3" s="27">
        <v>2</v>
      </c>
      <c r="X3" s="27">
        <v>0</v>
      </c>
      <c r="Y3" s="27"/>
      <c r="Z3" s="28">
        <f t="array" ref="Z3:Z5">C12:C14</f>
        <v>2</v>
      </c>
      <c r="AB3" s="31"/>
      <c r="AC3" s="27">
        <f t="array" ref="AC3:AE5">Q19:S21</f>
        <v>-1</v>
      </c>
      <c r="AD3" s="27">
        <v>2</v>
      </c>
      <c r="AE3" s="27">
        <v>0</v>
      </c>
      <c r="AF3" s="27"/>
      <c r="AG3" s="28">
        <f t="array" ref="AG3:AG5">F12:F14</f>
        <v>0</v>
      </c>
      <c r="AI3" s="31"/>
      <c r="AJ3" s="27"/>
      <c r="AK3" s="27"/>
      <c r="AL3" s="27"/>
      <c r="AM3" s="27"/>
      <c r="AN3" s="27">
        <f t="array" ref="AN3:AN5">C12:C14</f>
        <v>2</v>
      </c>
      <c r="AO3" s="27"/>
      <c r="AP3" s="28"/>
      <c r="AR3" s="31"/>
      <c r="AS3" s="27"/>
      <c r="AT3" s="27"/>
      <c r="AU3" s="28"/>
    </row>
    <row r="4" spans="2:47" ht="15.75" thickBot="1" x14ac:dyDescent="0.3">
      <c r="B4" s="31"/>
      <c r="C4" s="27" t="s">
        <v>199</v>
      </c>
      <c r="D4" s="27" t="s">
        <v>206</v>
      </c>
      <c r="E4" s="27" t="s">
        <v>45</v>
      </c>
      <c r="F4" s="27" t="s">
        <v>202</v>
      </c>
      <c r="G4" s="27" t="s">
        <v>72</v>
      </c>
      <c r="H4" s="27">
        <v>0</v>
      </c>
      <c r="I4" s="5"/>
      <c r="J4" s="5"/>
      <c r="K4" s="28"/>
      <c r="U4" s="31" t="s">
        <v>72</v>
      </c>
      <c r="V4" s="27">
        <v>-1</v>
      </c>
      <c r="W4" s="27">
        <v>1</v>
      </c>
      <c r="X4" s="27">
        <v>1</v>
      </c>
      <c r="Y4" s="27" t="s">
        <v>70</v>
      </c>
      <c r="Z4" s="28">
        <v>1</v>
      </c>
      <c r="AB4" s="31" t="s">
        <v>72</v>
      </c>
      <c r="AC4" s="27">
        <v>-1</v>
      </c>
      <c r="AD4" s="27">
        <v>1</v>
      </c>
      <c r="AE4" s="27">
        <v>1</v>
      </c>
      <c r="AF4" s="27" t="s">
        <v>70</v>
      </c>
      <c r="AG4" s="28">
        <v>1</v>
      </c>
      <c r="AI4" s="31" t="s">
        <v>72</v>
      </c>
      <c r="AJ4" s="27">
        <f t="array" ref="AJ4:AL4">M24:O24</f>
        <v>1</v>
      </c>
      <c r="AK4" s="27">
        <v>1</v>
      </c>
      <c r="AL4" s="27">
        <v>0</v>
      </c>
      <c r="AM4" s="27" t="s">
        <v>70</v>
      </c>
      <c r="AN4" s="27">
        <v>1</v>
      </c>
      <c r="AO4" s="27" t="s">
        <v>71</v>
      </c>
      <c r="AP4" s="28">
        <f>C11</f>
        <v>3</v>
      </c>
      <c r="AR4" s="31" t="s">
        <v>72</v>
      </c>
      <c r="AS4" s="27">
        <f t="array" ref="AS4:AU4">M24:O24</f>
        <v>1</v>
      </c>
      <c r="AT4" s="27">
        <v>1</v>
      </c>
      <c r="AU4" s="28">
        <v>0</v>
      </c>
    </row>
    <row r="5" spans="2:47" x14ac:dyDescent="0.25">
      <c r="B5" s="31"/>
      <c r="C5" s="27"/>
      <c r="D5" s="27" t="s">
        <v>204</v>
      </c>
      <c r="E5" s="27" t="s">
        <v>45</v>
      </c>
      <c r="F5" s="27" t="s">
        <v>200</v>
      </c>
      <c r="G5" s="27" t="s">
        <v>45</v>
      </c>
      <c r="H5" s="27" t="s">
        <v>201</v>
      </c>
      <c r="I5" s="27" t="s">
        <v>72</v>
      </c>
      <c r="J5" s="27">
        <v>100</v>
      </c>
      <c r="K5" s="28"/>
      <c r="M5" s="108" t="s">
        <v>87</v>
      </c>
      <c r="N5" s="110"/>
      <c r="Q5" s="108" t="s">
        <v>86</v>
      </c>
      <c r="R5" s="109"/>
      <c r="S5" s="110"/>
      <c r="U5" s="31"/>
      <c r="V5" s="27">
        <v>1</v>
      </c>
      <c r="W5" s="27">
        <v>-1</v>
      </c>
      <c r="X5" s="27">
        <v>0</v>
      </c>
      <c r="Y5" s="27"/>
      <c r="Z5" s="28">
        <v>1</v>
      </c>
      <c r="AB5" s="31"/>
      <c r="AC5" s="27">
        <v>1</v>
      </c>
      <c r="AD5" s="27">
        <v>-1</v>
      </c>
      <c r="AE5" s="27">
        <v>0</v>
      </c>
      <c r="AF5" s="27"/>
      <c r="AG5" s="28">
        <v>0</v>
      </c>
      <c r="AI5" s="31"/>
      <c r="AJ5" s="27"/>
      <c r="AK5" s="27"/>
      <c r="AL5" s="27"/>
      <c r="AM5" s="27"/>
      <c r="AN5" s="27">
        <v>1</v>
      </c>
      <c r="AO5" s="27"/>
      <c r="AP5" s="28"/>
      <c r="AR5" s="31"/>
      <c r="AS5" s="27"/>
      <c r="AT5" s="27"/>
      <c r="AU5" s="28"/>
    </row>
    <row r="6" spans="2:47" ht="15.75" thickBot="1" x14ac:dyDescent="0.3">
      <c r="B6" s="31"/>
      <c r="C6" s="27"/>
      <c r="D6" s="27" t="s">
        <v>207</v>
      </c>
      <c r="E6" s="27" t="s">
        <v>45</v>
      </c>
      <c r="F6" s="27" t="s">
        <v>200</v>
      </c>
      <c r="G6" s="27" t="s">
        <v>45</v>
      </c>
      <c r="H6" s="27" t="s">
        <v>203</v>
      </c>
      <c r="I6" s="66" t="s">
        <v>72</v>
      </c>
      <c r="J6" s="27">
        <v>80</v>
      </c>
      <c r="K6" s="28"/>
      <c r="M6" s="32">
        <f>E11</f>
        <v>0</v>
      </c>
      <c r="N6" s="35">
        <f>F11</f>
        <v>0</v>
      </c>
      <c r="Q6" s="32">
        <f>D11</f>
        <v>2</v>
      </c>
      <c r="R6" s="34">
        <f>G11</f>
        <v>0</v>
      </c>
      <c r="S6" s="35">
        <f>C11</f>
        <v>3</v>
      </c>
      <c r="U6" s="31"/>
      <c r="V6" s="27"/>
      <c r="W6" s="27"/>
      <c r="X6" s="27"/>
      <c r="Y6" s="27"/>
      <c r="Z6" s="28"/>
      <c r="AB6" s="31"/>
      <c r="AC6" s="27"/>
      <c r="AD6" s="27"/>
      <c r="AE6" s="27"/>
      <c r="AF6" s="27"/>
      <c r="AG6" s="28"/>
      <c r="AI6" s="32" t="s">
        <v>72</v>
      </c>
      <c r="AJ6" s="34">
        <f>MMULT(AJ4:AL4,AN3:AN5)-AP4</f>
        <v>0</v>
      </c>
      <c r="AK6" s="34"/>
      <c r="AL6" s="34"/>
      <c r="AM6" s="34"/>
      <c r="AN6" s="34"/>
      <c r="AO6" s="34"/>
      <c r="AP6" s="35"/>
      <c r="AR6" s="32" t="s">
        <v>72</v>
      </c>
      <c r="AS6" s="34">
        <f>AS4</f>
        <v>1</v>
      </c>
      <c r="AT6" s="34"/>
      <c r="AU6" s="35"/>
    </row>
    <row r="7" spans="2:47" ht="15.75" thickBot="1" x14ac:dyDescent="0.3">
      <c r="B7" s="31"/>
      <c r="C7" s="27"/>
      <c r="D7" s="27" t="s">
        <v>204</v>
      </c>
      <c r="E7" s="27" t="s">
        <v>45</v>
      </c>
      <c r="F7" s="27" t="s">
        <v>205</v>
      </c>
      <c r="G7" s="66" t="s">
        <v>72</v>
      </c>
      <c r="H7" s="27">
        <v>40</v>
      </c>
      <c r="K7" s="28"/>
      <c r="U7" s="31"/>
      <c r="V7" s="27">
        <f t="array" ref="V7:V9">MMULT(V3:X5,Z3:Z5)</f>
        <v>0</v>
      </c>
      <c r="W7" s="27"/>
      <c r="X7" s="27"/>
      <c r="Y7" s="27"/>
      <c r="Z7" s="28"/>
      <c r="AB7" s="31"/>
      <c r="AC7" s="27">
        <f t="array" ref="AC7:AC9">MMULT(AC3:AE5,AG3:AG5)</f>
        <v>2</v>
      </c>
      <c r="AD7" s="27"/>
      <c r="AE7" s="27"/>
      <c r="AF7" s="27"/>
      <c r="AG7" s="28"/>
    </row>
    <row r="8" spans="2:47" ht="15.75" thickBot="1" x14ac:dyDescent="0.3">
      <c r="B8" s="32"/>
      <c r="C8" s="34"/>
      <c r="D8" s="34"/>
      <c r="E8" s="34"/>
      <c r="F8" s="34"/>
      <c r="G8" s="14"/>
      <c r="H8" s="14"/>
      <c r="I8" s="34"/>
      <c r="J8" s="34"/>
      <c r="K8" s="35"/>
      <c r="M8" s="108" t="s">
        <v>64</v>
      </c>
      <c r="N8" s="110"/>
      <c r="Q8" s="108" t="s">
        <v>63</v>
      </c>
      <c r="R8" s="109"/>
      <c r="S8" s="110"/>
      <c r="U8" s="31" t="s">
        <v>72</v>
      </c>
      <c r="V8" s="27">
        <v>0</v>
      </c>
      <c r="W8" s="27"/>
      <c r="X8" s="27"/>
      <c r="Y8" s="27"/>
      <c r="Z8" s="28"/>
      <c r="AB8" s="31" t="s">
        <v>72</v>
      </c>
      <c r="AC8" s="27">
        <v>1</v>
      </c>
      <c r="AD8" s="27"/>
      <c r="AE8" s="27"/>
      <c r="AF8" s="27"/>
      <c r="AG8" s="28"/>
      <c r="AI8" s="123" t="s">
        <v>84</v>
      </c>
      <c r="AJ8" s="124"/>
      <c r="AK8" s="124"/>
      <c r="AL8" s="124"/>
      <c r="AM8" s="124"/>
      <c r="AN8" s="124"/>
      <c r="AO8" s="124"/>
      <c r="AP8" s="125"/>
      <c r="AR8" s="108" t="s">
        <v>81</v>
      </c>
      <c r="AS8" s="109"/>
      <c r="AT8" s="109"/>
      <c r="AU8" s="110"/>
    </row>
    <row r="9" spans="2:47" ht="15.75" thickBot="1" x14ac:dyDescent="0.3">
      <c r="M9" s="31">
        <f t="array" ref="M9:M11">E12:E14</f>
        <v>1</v>
      </c>
      <c r="N9" s="28">
        <f t="array" ref="N9:N11">F12:F14</f>
        <v>0</v>
      </c>
      <c r="Q9" s="31">
        <f t="array" ref="Q9:Q11">D12:D14</f>
        <v>1</v>
      </c>
      <c r="R9" s="27">
        <f t="array" ref="R9:R11">G12:G14</f>
        <v>0</v>
      </c>
      <c r="S9" s="28">
        <f t="array" ref="S9:S11">C12:C14</f>
        <v>2</v>
      </c>
      <c r="U9" s="32"/>
      <c r="V9" s="34">
        <v>1</v>
      </c>
      <c r="W9" s="34"/>
      <c r="X9" s="34"/>
      <c r="Y9" s="34"/>
      <c r="Z9" s="35"/>
      <c r="AB9" s="32"/>
      <c r="AC9" s="34">
        <v>-1</v>
      </c>
      <c r="AD9" s="34"/>
      <c r="AE9" s="34"/>
      <c r="AF9" s="34"/>
      <c r="AG9" s="35"/>
      <c r="AI9" s="31"/>
      <c r="AJ9" s="27"/>
      <c r="AK9" s="27"/>
      <c r="AL9" s="27"/>
      <c r="AM9" s="27"/>
      <c r="AN9" s="27">
        <f t="array" ref="AN9:AN11">D12:D14</f>
        <v>1</v>
      </c>
      <c r="AO9" s="27"/>
      <c r="AP9" s="28"/>
      <c r="AR9" s="31"/>
      <c r="AS9" s="27"/>
      <c r="AT9" s="27"/>
      <c r="AU9" s="28"/>
    </row>
    <row r="10" spans="2:47" ht="15.75" thickBot="1" x14ac:dyDescent="0.3">
      <c r="B10" s="43" t="s">
        <v>62</v>
      </c>
      <c r="C10" s="2" t="s">
        <v>209</v>
      </c>
      <c r="D10" s="2" t="s">
        <v>210</v>
      </c>
      <c r="E10" s="2" t="s">
        <v>211</v>
      </c>
      <c r="F10" s="2" t="s">
        <v>212</v>
      </c>
      <c r="G10" s="2" t="s">
        <v>213</v>
      </c>
      <c r="H10" s="3" t="s">
        <v>15</v>
      </c>
      <c r="M10" s="31">
        <v>0</v>
      </c>
      <c r="N10" s="28">
        <v>1</v>
      </c>
      <c r="Q10" s="31">
        <v>1</v>
      </c>
      <c r="R10" s="27">
        <v>0</v>
      </c>
      <c r="S10" s="28">
        <v>1</v>
      </c>
      <c r="AI10" s="31" t="s">
        <v>72</v>
      </c>
      <c r="AJ10" s="27">
        <f t="array" ref="AJ10:AL10">M24:O24</f>
        <v>1</v>
      </c>
      <c r="AK10" s="27">
        <v>1</v>
      </c>
      <c r="AL10" s="27">
        <v>0</v>
      </c>
      <c r="AM10" s="27" t="s">
        <v>70</v>
      </c>
      <c r="AN10" s="27">
        <v>1</v>
      </c>
      <c r="AO10" s="27" t="s">
        <v>71</v>
      </c>
      <c r="AP10" s="28">
        <f>D11</f>
        <v>2</v>
      </c>
      <c r="AR10" s="31" t="s">
        <v>72</v>
      </c>
      <c r="AS10" s="27">
        <f t="array" ref="AS10:AU10">M24:O24</f>
        <v>1</v>
      </c>
      <c r="AT10" s="27">
        <v>1</v>
      </c>
      <c r="AU10" s="28">
        <v>0</v>
      </c>
    </row>
    <row r="11" spans="2:47" ht="15.75" thickBot="1" x14ac:dyDescent="0.3">
      <c r="B11" s="29" t="s">
        <v>208</v>
      </c>
      <c r="C11" s="20">
        <v>3</v>
      </c>
      <c r="D11" s="20">
        <v>2</v>
      </c>
      <c r="E11" s="20">
        <v>0</v>
      </c>
      <c r="F11" s="20">
        <v>0</v>
      </c>
      <c r="G11" s="20">
        <v>0</v>
      </c>
      <c r="H11" s="37">
        <v>0</v>
      </c>
      <c r="M11" s="32">
        <v>0</v>
      </c>
      <c r="N11" s="35">
        <v>0</v>
      </c>
      <c r="Q11" s="32">
        <v>0</v>
      </c>
      <c r="R11" s="34">
        <v>1</v>
      </c>
      <c r="S11" s="35">
        <v>1</v>
      </c>
      <c r="U11" s="108" t="s">
        <v>74</v>
      </c>
      <c r="V11" s="109"/>
      <c r="W11" s="109"/>
      <c r="X11" s="109"/>
      <c r="Y11" s="109"/>
      <c r="Z11" s="110"/>
      <c r="AB11" s="108" t="s">
        <v>77</v>
      </c>
      <c r="AC11" s="109"/>
      <c r="AD11" s="109"/>
      <c r="AE11" s="109"/>
      <c r="AF11" s="109"/>
      <c r="AG11" s="110"/>
      <c r="AI11" s="31"/>
      <c r="AJ11" s="27"/>
      <c r="AK11" s="27"/>
      <c r="AL11" s="27"/>
      <c r="AM11" s="27"/>
      <c r="AN11" s="27">
        <v>0</v>
      </c>
      <c r="AO11" s="27"/>
      <c r="AP11" s="28"/>
      <c r="AR11" s="31"/>
      <c r="AS11" s="27"/>
      <c r="AT11" s="27"/>
      <c r="AU11" s="28"/>
    </row>
    <row r="12" spans="2:47" ht="15.75" thickBot="1" x14ac:dyDescent="0.3">
      <c r="B12" s="29">
        <v>1</v>
      </c>
      <c r="C12" s="20">
        <v>2</v>
      </c>
      <c r="D12" s="20">
        <v>1</v>
      </c>
      <c r="E12" s="20">
        <v>1</v>
      </c>
      <c r="F12" s="20">
        <v>0</v>
      </c>
      <c r="G12" s="20">
        <v>0</v>
      </c>
      <c r="H12" s="37">
        <v>100</v>
      </c>
      <c r="U12" s="31"/>
      <c r="V12" s="27">
        <f t="array" ref="V12:X14">Q19:S21</f>
        <v>-1</v>
      </c>
      <c r="W12" s="27">
        <v>2</v>
      </c>
      <c r="X12" s="27">
        <v>0</v>
      </c>
      <c r="Y12" s="27"/>
      <c r="Z12" s="28">
        <f t="array" ref="Z12:Z14">D12:D14</f>
        <v>1</v>
      </c>
      <c r="AB12" s="31"/>
      <c r="AC12" s="27">
        <f t="array" ref="AC12:AE14">Q19:S21</f>
        <v>-1</v>
      </c>
      <c r="AD12" s="27">
        <v>2</v>
      </c>
      <c r="AE12" s="27">
        <v>0</v>
      </c>
      <c r="AF12" s="27"/>
      <c r="AG12" s="28">
        <f t="array" ref="AG12:AG14">G12:G14</f>
        <v>0</v>
      </c>
      <c r="AI12" s="32" t="s">
        <v>72</v>
      </c>
      <c r="AJ12" s="34">
        <f>MMULT(AJ10:AL10,AN9:AN11)-AP10</f>
        <v>0</v>
      </c>
      <c r="AK12" s="34"/>
      <c r="AL12" s="34"/>
      <c r="AM12" s="34"/>
      <c r="AN12" s="34"/>
      <c r="AO12" s="34"/>
      <c r="AP12" s="35"/>
      <c r="AR12" s="32" t="s">
        <v>72</v>
      </c>
      <c r="AS12" s="34">
        <f>AT10</f>
        <v>1</v>
      </c>
      <c r="AT12" s="34"/>
      <c r="AU12" s="35"/>
    </row>
    <row r="13" spans="2:47" ht="15.75" thickBot="1" x14ac:dyDescent="0.3">
      <c r="B13" s="29">
        <v>2</v>
      </c>
      <c r="C13" s="20">
        <v>1</v>
      </c>
      <c r="D13" s="20">
        <v>1</v>
      </c>
      <c r="E13" s="20">
        <v>0</v>
      </c>
      <c r="F13" s="20">
        <v>1</v>
      </c>
      <c r="G13" s="20">
        <v>0</v>
      </c>
      <c r="H13" s="37">
        <v>80</v>
      </c>
      <c r="M13" s="107" t="s">
        <v>69</v>
      </c>
      <c r="O13" s="107" t="s">
        <v>66</v>
      </c>
      <c r="Q13" s="123" t="s">
        <v>65</v>
      </c>
      <c r="R13" s="124"/>
      <c r="S13" s="125"/>
      <c r="U13" s="31" t="s">
        <v>72</v>
      </c>
      <c r="V13" s="27">
        <v>-1</v>
      </c>
      <c r="W13" s="27">
        <v>1</v>
      </c>
      <c r="X13" s="27">
        <v>1</v>
      </c>
      <c r="Y13" s="27" t="s">
        <v>70</v>
      </c>
      <c r="Z13" s="28">
        <v>1</v>
      </c>
      <c r="AB13" s="31" t="s">
        <v>72</v>
      </c>
      <c r="AC13" s="27">
        <v>-1</v>
      </c>
      <c r="AD13" s="27">
        <v>1</v>
      </c>
      <c r="AE13" s="27">
        <v>1</v>
      </c>
      <c r="AF13" s="27" t="s">
        <v>70</v>
      </c>
      <c r="AG13" s="28">
        <v>0</v>
      </c>
    </row>
    <row r="14" spans="2:47" ht="15.75" thickBot="1" x14ac:dyDescent="0.3">
      <c r="B14" s="38">
        <v>3</v>
      </c>
      <c r="C14" s="39">
        <v>1</v>
      </c>
      <c r="D14" s="39">
        <v>0</v>
      </c>
      <c r="E14" s="39">
        <v>0</v>
      </c>
      <c r="F14" s="39">
        <v>0</v>
      </c>
      <c r="G14" s="39">
        <v>1</v>
      </c>
      <c r="H14" s="40">
        <v>40</v>
      </c>
      <c r="M14" s="88">
        <f t="array" ref="M14:M16">H12:H14</f>
        <v>100</v>
      </c>
      <c r="O14" s="89">
        <f>(Q11*(R9*S10-S9*R10))-(R11*(Q9*S10-S9*Q10))+(S11*(Q9*R10-R9*Q10))</f>
        <v>1</v>
      </c>
      <c r="Q14" s="31">
        <f>R10*S11-S10*R11</f>
        <v>-1</v>
      </c>
      <c r="R14" s="27">
        <f>-(Q10*S11-S10*Q11)</f>
        <v>-1</v>
      </c>
      <c r="S14" s="28">
        <f>Q10*R11-R10*Q11</f>
        <v>1</v>
      </c>
      <c r="U14" s="31"/>
      <c r="V14" s="27">
        <v>1</v>
      </c>
      <c r="W14" s="27">
        <v>-1</v>
      </c>
      <c r="X14" s="27">
        <v>0</v>
      </c>
      <c r="Y14" s="27"/>
      <c r="Z14" s="28">
        <v>0</v>
      </c>
      <c r="AB14" s="31"/>
      <c r="AC14" s="27">
        <v>1</v>
      </c>
      <c r="AD14" s="27">
        <v>-1</v>
      </c>
      <c r="AE14" s="27">
        <v>0</v>
      </c>
      <c r="AF14" s="27"/>
      <c r="AG14" s="28">
        <v>1</v>
      </c>
      <c r="AI14" s="108" t="s">
        <v>83</v>
      </c>
      <c r="AJ14" s="109"/>
      <c r="AK14" s="109"/>
      <c r="AL14" s="109"/>
      <c r="AM14" s="109"/>
      <c r="AN14" s="110"/>
      <c r="AR14" s="108" t="s">
        <v>82</v>
      </c>
      <c r="AS14" s="109"/>
      <c r="AT14" s="109"/>
      <c r="AU14" s="110"/>
    </row>
    <row r="15" spans="2:47" ht="15.75" thickBot="1" x14ac:dyDescent="0.3">
      <c r="M15" s="88">
        <v>80</v>
      </c>
      <c r="O15">
        <f>Q9*(R10*S11-S10*R11)-R9*(Q10*S11-S10*Q11)+S9*(Q10*R11-R10*Q11)</f>
        <v>1</v>
      </c>
      <c r="Q15" s="31">
        <f>-(R9*S11-S9*R11)</f>
        <v>2</v>
      </c>
      <c r="R15" s="27">
        <f>Q9*S11-S9*Q11</f>
        <v>1</v>
      </c>
      <c r="S15" s="28">
        <f>-(Q10*R11-R10*Q11)</f>
        <v>-1</v>
      </c>
      <c r="U15" s="31"/>
      <c r="V15" s="27"/>
      <c r="W15" s="27"/>
      <c r="X15" s="27"/>
      <c r="Y15" s="27"/>
      <c r="Z15" s="28"/>
      <c r="AB15" s="31"/>
      <c r="AC15" s="27"/>
      <c r="AD15" s="27"/>
      <c r="AE15" s="27"/>
      <c r="AF15" s="27"/>
      <c r="AG15" s="28"/>
      <c r="AI15" s="31"/>
      <c r="AJ15" s="27"/>
      <c r="AK15" s="27"/>
      <c r="AL15" s="27"/>
      <c r="AM15" s="27"/>
      <c r="AN15" s="28">
        <f t="array" ref="AN15:AN17">H12:H14</f>
        <v>100</v>
      </c>
      <c r="AR15" s="31"/>
      <c r="AS15" s="27"/>
      <c r="AT15" s="27"/>
      <c r="AU15" s="28"/>
    </row>
    <row r="16" spans="2:47" ht="15.75" thickBot="1" x14ac:dyDescent="0.3">
      <c r="B16" s="43" t="s">
        <v>143</v>
      </c>
      <c r="C16" s="2" t="s">
        <v>209</v>
      </c>
      <c r="D16" s="2" t="s">
        <v>210</v>
      </c>
      <c r="E16" s="2" t="s">
        <v>211</v>
      </c>
      <c r="F16" s="2" t="s">
        <v>212</v>
      </c>
      <c r="G16" s="2" t="s">
        <v>213</v>
      </c>
      <c r="H16" s="3" t="s">
        <v>15</v>
      </c>
      <c r="M16" s="89">
        <v>40</v>
      </c>
      <c r="Q16" s="32">
        <f>R9*S10-S9*R10</f>
        <v>0</v>
      </c>
      <c r="R16" s="34">
        <f>-(Q9*S10-S9*Q10)</f>
        <v>1</v>
      </c>
      <c r="S16" s="35">
        <f>Q9*R10-R9*Q10</f>
        <v>0</v>
      </c>
      <c r="U16" s="31"/>
      <c r="V16" s="27">
        <f t="array" ref="V16:V18">MMULT(V12:X14,Z12:Z14)</f>
        <v>1</v>
      </c>
      <c r="W16" s="27"/>
      <c r="X16" s="27"/>
      <c r="Y16" s="27"/>
      <c r="Z16" s="28"/>
      <c r="AB16" s="31"/>
      <c r="AC16" s="27">
        <f t="array" ref="AC16:AC18">MMULT(AC12:AE14,AG12:AG14)</f>
        <v>0</v>
      </c>
      <c r="AD16" s="27"/>
      <c r="AE16" s="27"/>
      <c r="AF16" s="27"/>
      <c r="AG16" s="28"/>
      <c r="AI16" s="31" t="s">
        <v>72</v>
      </c>
      <c r="AJ16" s="27">
        <f t="array" ref="AJ16:AL16">M24:O24</f>
        <v>1</v>
      </c>
      <c r="AK16" s="27">
        <v>1</v>
      </c>
      <c r="AL16" s="27">
        <v>0</v>
      </c>
      <c r="AM16" s="27" t="s">
        <v>70</v>
      </c>
      <c r="AN16" s="28">
        <v>80</v>
      </c>
      <c r="AR16" s="31" t="s">
        <v>72</v>
      </c>
      <c r="AS16" s="27">
        <f t="array" ref="AS16:AU16">M24:O24</f>
        <v>1</v>
      </c>
      <c r="AT16" s="27">
        <v>1</v>
      </c>
      <c r="AU16" s="28">
        <v>0</v>
      </c>
    </row>
    <row r="17" spans="2:47" ht="15.75" thickBot="1" x14ac:dyDescent="0.3">
      <c r="B17" s="29" t="s">
        <v>208</v>
      </c>
      <c r="C17" s="20">
        <f>MMULT($M$24:$O$24,C12:C14)-C11</f>
        <v>0</v>
      </c>
      <c r="D17" s="20">
        <f t="shared" ref="D17:H17" si="0">MMULT($M$24:$O$24,D12:D14)-D11</f>
        <v>0</v>
      </c>
      <c r="E17" s="20">
        <f t="shared" si="0"/>
        <v>1</v>
      </c>
      <c r="F17" s="20">
        <f t="shared" si="0"/>
        <v>1</v>
      </c>
      <c r="G17" s="20">
        <f t="shared" si="0"/>
        <v>0</v>
      </c>
      <c r="H17" s="37">
        <f t="shared" si="0"/>
        <v>180</v>
      </c>
      <c r="U17" s="31" t="s">
        <v>72</v>
      </c>
      <c r="V17" s="27">
        <v>0</v>
      </c>
      <c r="W17" s="27"/>
      <c r="X17" s="27"/>
      <c r="Y17" s="27"/>
      <c r="Z17" s="28"/>
      <c r="AB17" s="31" t="s">
        <v>72</v>
      </c>
      <c r="AC17" s="27">
        <v>1</v>
      </c>
      <c r="AD17" s="27"/>
      <c r="AE17" s="27"/>
      <c r="AF17" s="27"/>
      <c r="AG17" s="28"/>
      <c r="AI17" s="31"/>
      <c r="AJ17" s="27"/>
      <c r="AK17" s="27"/>
      <c r="AL17" s="27"/>
      <c r="AM17" s="27"/>
      <c r="AN17" s="28">
        <v>40</v>
      </c>
      <c r="AR17" s="31"/>
      <c r="AS17" s="27"/>
      <c r="AT17" s="27"/>
      <c r="AU17" s="28"/>
    </row>
    <row r="18" spans="2:47" ht="15.75" thickBot="1" x14ac:dyDescent="0.3">
      <c r="B18" s="29">
        <v>1</v>
      </c>
      <c r="C18" s="20">
        <f t="array" ref="C18:C20">MMULT($Q$19:$S$21,C12:C14)</f>
        <v>0</v>
      </c>
      <c r="D18" s="20">
        <f t="array" ref="D18:D20">MMULT($Q$19:$S$21,D12:D14)</f>
        <v>1</v>
      </c>
      <c r="E18" s="20">
        <f t="array" ref="E18:E20">MMULT($Q$19:$S$21,E12:E14)</f>
        <v>-1</v>
      </c>
      <c r="F18" s="20">
        <f t="array" ref="F18:F20">MMULT($Q$19:$S$21,F12:F14)</f>
        <v>2</v>
      </c>
      <c r="G18" s="20">
        <f t="array" ref="G18:G20">MMULT($Q$19:$S$21,G12:G14)</f>
        <v>0</v>
      </c>
      <c r="H18" s="37">
        <f t="array" ref="H18:H20">MMULT($Q$19:$S$21,H12:H14)</f>
        <v>60</v>
      </c>
      <c r="M18" s="108" t="s">
        <v>67</v>
      </c>
      <c r="N18" s="109"/>
      <c r="O18" s="110"/>
      <c r="Q18" s="108" t="s">
        <v>68</v>
      </c>
      <c r="R18" s="109"/>
      <c r="S18" s="110"/>
      <c r="U18" s="32"/>
      <c r="V18" s="34">
        <v>0</v>
      </c>
      <c r="W18" s="34"/>
      <c r="X18" s="34"/>
      <c r="Y18" s="34"/>
      <c r="Z18" s="35"/>
      <c r="AB18" s="32"/>
      <c r="AC18" s="34">
        <v>0</v>
      </c>
      <c r="AD18" s="34"/>
      <c r="AE18" s="34"/>
      <c r="AF18" s="34"/>
      <c r="AG18" s="35"/>
      <c r="AI18" s="32" t="s">
        <v>72</v>
      </c>
      <c r="AJ18" s="34">
        <f t="array" ref="AJ18">MMULT(AJ16:AL16,AN15:AN17)</f>
        <v>180</v>
      </c>
      <c r="AK18" s="34"/>
      <c r="AL18" s="34"/>
      <c r="AM18" s="34"/>
      <c r="AN18" s="35"/>
      <c r="AR18" s="32" t="s">
        <v>72</v>
      </c>
      <c r="AS18" s="34">
        <f>AU16</f>
        <v>0</v>
      </c>
      <c r="AT18" s="34"/>
      <c r="AU18" s="35"/>
    </row>
    <row r="19" spans="2:47" ht="15.75" thickBot="1" x14ac:dyDescent="0.3">
      <c r="B19" s="29">
        <v>2</v>
      </c>
      <c r="C19" s="20">
        <v>0</v>
      </c>
      <c r="D19" s="20">
        <v>0</v>
      </c>
      <c r="E19" s="20">
        <v>-1</v>
      </c>
      <c r="F19" s="20">
        <v>1</v>
      </c>
      <c r="G19" s="20">
        <v>1</v>
      </c>
      <c r="H19" s="37">
        <v>20</v>
      </c>
      <c r="M19" s="31">
        <f>Q14</f>
        <v>-1</v>
      </c>
      <c r="N19" s="27">
        <f>Q15</f>
        <v>2</v>
      </c>
      <c r="O19" s="28">
        <f>Q16</f>
        <v>0</v>
      </c>
      <c r="Q19" s="31">
        <f t="array" ref="Q19:S21">(1/O14)*M19:O21</f>
        <v>-1</v>
      </c>
      <c r="R19" s="27">
        <v>2</v>
      </c>
      <c r="S19" s="28">
        <v>0</v>
      </c>
    </row>
    <row r="20" spans="2:47" ht="15.75" thickBot="1" x14ac:dyDescent="0.3">
      <c r="B20" s="38">
        <v>3</v>
      </c>
      <c r="C20" s="39">
        <v>1</v>
      </c>
      <c r="D20" s="39">
        <v>0</v>
      </c>
      <c r="E20" s="39">
        <v>1</v>
      </c>
      <c r="F20" s="39">
        <v>-1</v>
      </c>
      <c r="G20" s="39">
        <v>0</v>
      </c>
      <c r="H20" s="40">
        <v>20</v>
      </c>
      <c r="M20" s="31">
        <f>R14</f>
        <v>-1</v>
      </c>
      <c r="N20" s="27">
        <f>R15</f>
        <v>1</v>
      </c>
      <c r="O20" s="28">
        <f>R16</f>
        <v>1</v>
      </c>
      <c r="Q20" s="31">
        <v>-1</v>
      </c>
      <c r="R20" s="27">
        <v>1</v>
      </c>
      <c r="S20" s="28">
        <v>1</v>
      </c>
      <c r="U20" s="108" t="s">
        <v>75</v>
      </c>
      <c r="V20" s="109"/>
      <c r="W20" s="109"/>
      <c r="X20" s="109"/>
      <c r="Y20" s="109"/>
      <c r="Z20" s="110"/>
      <c r="AB20" s="108" t="s">
        <v>78</v>
      </c>
      <c r="AC20" s="109"/>
      <c r="AD20" s="109"/>
      <c r="AE20" s="109"/>
      <c r="AF20" s="109"/>
      <c r="AG20" s="110"/>
    </row>
    <row r="21" spans="2:47" ht="15.75" thickBot="1" x14ac:dyDescent="0.3">
      <c r="M21" s="32">
        <f>S14</f>
        <v>1</v>
      </c>
      <c r="N21" s="34">
        <f>S15</f>
        <v>-1</v>
      </c>
      <c r="O21" s="35">
        <f>S16</f>
        <v>0</v>
      </c>
      <c r="Q21" s="32">
        <v>1</v>
      </c>
      <c r="R21" s="34">
        <v>-1</v>
      </c>
      <c r="S21" s="35">
        <v>0</v>
      </c>
      <c r="U21" s="31"/>
      <c r="V21" s="27">
        <f t="array" ref="V21:X23">Q19:S21</f>
        <v>-1</v>
      </c>
      <c r="W21" s="27">
        <v>2</v>
      </c>
      <c r="X21" s="27">
        <v>0</v>
      </c>
      <c r="Y21" s="27"/>
      <c r="Z21" s="28">
        <f t="array" ref="Z21:Z23">E12:E14</f>
        <v>1</v>
      </c>
      <c r="AB21" s="31"/>
      <c r="AC21" s="27">
        <f t="array" ref="AC21:AE23">Q19:S21</f>
        <v>-1</v>
      </c>
      <c r="AD21" s="27">
        <v>2</v>
      </c>
      <c r="AE21" s="27">
        <v>0</v>
      </c>
      <c r="AF21" s="27"/>
      <c r="AG21" s="28">
        <f t="array" ref="AG21:AG23">H12:H14</f>
        <v>100</v>
      </c>
    </row>
    <row r="22" spans="2:47" ht="15.75" thickBot="1" x14ac:dyDescent="0.3">
      <c r="U22" s="31" t="s">
        <v>72</v>
      </c>
      <c r="V22" s="27">
        <v>-1</v>
      </c>
      <c r="W22" s="27">
        <v>1</v>
      </c>
      <c r="X22" s="27">
        <v>1</v>
      </c>
      <c r="Y22" s="27" t="s">
        <v>70</v>
      </c>
      <c r="Z22" s="28">
        <v>0</v>
      </c>
      <c r="AB22" s="31" t="s">
        <v>72</v>
      </c>
      <c r="AC22" s="27">
        <v>-1</v>
      </c>
      <c r="AD22" s="27">
        <v>1</v>
      </c>
      <c r="AE22" s="27">
        <v>1</v>
      </c>
      <c r="AF22" s="27" t="s">
        <v>70</v>
      </c>
      <c r="AG22" s="28">
        <v>80</v>
      </c>
    </row>
    <row r="23" spans="2:47" x14ac:dyDescent="0.25">
      <c r="M23" s="108" t="s">
        <v>85</v>
      </c>
      <c r="N23" s="109"/>
      <c r="O23" s="110"/>
      <c r="U23" s="31"/>
      <c r="V23" s="27">
        <v>1</v>
      </c>
      <c r="W23" s="27">
        <v>-1</v>
      </c>
      <c r="X23" s="27">
        <v>0</v>
      </c>
      <c r="Y23" s="27"/>
      <c r="Z23" s="28">
        <v>0</v>
      </c>
      <c r="AB23" s="31"/>
      <c r="AC23" s="27">
        <v>1</v>
      </c>
      <c r="AD23" s="27">
        <v>-1</v>
      </c>
      <c r="AE23" s="27">
        <v>0</v>
      </c>
      <c r="AF23" s="27"/>
      <c r="AG23" s="28">
        <v>40</v>
      </c>
    </row>
    <row r="24" spans="2:47" ht="15.75" thickBot="1" x14ac:dyDescent="0.3">
      <c r="M24" s="32">
        <f t="array" ref="M24:O24">MMULT(Q6:S6,Q19:S21)</f>
        <v>1</v>
      </c>
      <c r="N24" s="34">
        <v>1</v>
      </c>
      <c r="O24" s="35">
        <v>0</v>
      </c>
      <c r="U24" s="31"/>
      <c r="V24" s="27"/>
      <c r="W24" s="27"/>
      <c r="X24" s="27"/>
      <c r="Y24" s="27"/>
      <c r="Z24" s="28"/>
      <c r="AB24" s="31"/>
      <c r="AC24" s="27"/>
      <c r="AD24" s="27"/>
      <c r="AE24" s="27"/>
      <c r="AF24" s="27"/>
      <c r="AG24" s="28"/>
    </row>
    <row r="25" spans="2:47" x14ac:dyDescent="0.25">
      <c r="U25" s="31"/>
      <c r="V25" s="27">
        <f t="array" ref="V25:V27">MMULT(V21:X23,Z21:Z23)</f>
        <v>-1</v>
      </c>
      <c r="W25" s="27"/>
      <c r="X25" s="27"/>
      <c r="Y25" s="27"/>
      <c r="Z25" s="28"/>
      <c r="AB25" s="31"/>
      <c r="AC25" s="27">
        <f t="array" ref="AC25:AC27">MMULT(AC21:AE23,AG21:AG23)</f>
        <v>60</v>
      </c>
      <c r="AD25" s="27"/>
      <c r="AE25" s="27"/>
      <c r="AF25" s="27"/>
      <c r="AG25" s="28"/>
    </row>
    <row r="26" spans="2:47" x14ac:dyDescent="0.25">
      <c r="U26" s="31" t="s">
        <v>72</v>
      </c>
      <c r="V26" s="27">
        <v>-1</v>
      </c>
      <c r="W26" s="27"/>
      <c r="X26" s="27"/>
      <c r="Y26" s="27"/>
      <c r="Z26" s="28"/>
      <c r="AB26" s="31" t="s">
        <v>72</v>
      </c>
      <c r="AC26" s="27">
        <v>20</v>
      </c>
      <c r="AD26" s="27"/>
      <c r="AE26" s="27"/>
      <c r="AF26" s="27"/>
      <c r="AG26" s="28"/>
    </row>
    <row r="27" spans="2:47" ht="15.75" thickBot="1" x14ac:dyDescent="0.3">
      <c r="U27" s="32"/>
      <c r="V27" s="34">
        <v>1</v>
      </c>
      <c r="W27" s="34"/>
      <c r="X27" s="34"/>
      <c r="Y27" s="34"/>
      <c r="Z27" s="35"/>
      <c r="AB27" s="32"/>
      <c r="AC27" s="34">
        <v>20</v>
      </c>
      <c r="AD27" s="34"/>
      <c r="AE27" s="34"/>
      <c r="AF27" s="34"/>
      <c r="AG27" s="35"/>
    </row>
  </sheetData>
  <mergeCells count="23">
    <mergeCell ref="B2:K2"/>
    <mergeCell ref="AB2:AG2"/>
    <mergeCell ref="AB11:AG11"/>
    <mergeCell ref="AB20:AG20"/>
    <mergeCell ref="AR2:AU2"/>
    <mergeCell ref="AR8:AU8"/>
    <mergeCell ref="AR14:AU14"/>
    <mergeCell ref="M23:O23"/>
    <mergeCell ref="AI2:AP2"/>
    <mergeCell ref="AI8:AP8"/>
    <mergeCell ref="U2:Z2"/>
    <mergeCell ref="U11:Z11"/>
    <mergeCell ref="U20:Z20"/>
    <mergeCell ref="Q13:S13"/>
    <mergeCell ref="M18:O18"/>
    <mergeCell ref="Q18:S18"/>
    <mergeCell ref="Q2:S2"/>
    <mergeCell ref="Q8:S8"/>
    <mergeCell ref="M2:N2"/>
    <mergeCell ref="M5:N5"/>
    <mergeCell ref="Q5:S5"/>
    <mergeCell ref="M8:N8"/>
    <mergeCell ref="AI14:AN14"/>
  </mergeCells>
  <pageMargins left="0.7" right="0.7" top="0.75" bottom="0.75" header="0.3" footer="0.3"/>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38"/>
  <sheetViews>
    <sheetView zoomScale="55" zoomScaleNormal="55" workbookViewId="0"/>
  </sheetViews>
  <sheetFormatPr defaultRowHeight="15" x14ac:dyDescent="0.25"/>
  <cols>
    <col min="1" max="1" width="3.42578125" style="1" customWidth="1"/>
    <col min="2" max="2" width="3.140625" customWidth="1"/>
    <col min="9" max="10" width="9.140625" style="1"/>
    <col min="11" max="12" width="3.140625" style="1" customWidth="1"/>
    <col min="13" max="13" width="3.42578125" style="1" customWidth="1"/>
    <col min="14" max="14" width="51.28515625" style="1" bestFit="1" customWidth="1"/>
    <col min="15" max="15" width="3.42578125" style="1" customWidth="1"/>
    <col min="16" max="16" width="51.28515625" style="1" bestFit="1" customWidth="1"/>
    <col min="17" max="17" width="2.7109375" style="1" customWidth="1"/>
    <col min="18" max="16384" width="9.140625" style="1"/>
  </cols>
  <sheetData>
    <row r="1" spans="2:16" ht="15.75" thickBot="1" x14ac:dyDescent="0.3"/>
    <row r="2" spans="2:16" x14ac:dyDescent="0.25">
      <c r="B2" s="108" t="s">
        <v>217</v>
      </c>
      <c r="C2" s="109"/>
      <c r="D2" s="109"/>
      <c r="E2" s="109"/>
      <c r="F2" s="109"/>
      <c r="G2" s="109"/>
      <c r="H2" s="109"/>
      <c r="I2" s="109"/>
      <c r="J2" s="109"/>
      <c r="K2" s="110"/>
      <c r="N2" s="103" t="s">
        <v>218</v>
      </c>
      <c r="P2" s="103" t="s">
        <v>220</v>
      </c>
    </row>
    <row r="3" spans="2:16" x14ac:dyDescent="0.25">
      <c r="B3" s="30"/>
      <c r="C3" s="27"/>
      <c r="D3" s="27"/>
      <c r="E3" s="27"/>
      <c r="F3" s="27"/>
      <c r="G3" s="5"/>
      <c r="H3" s="5"/>
      <c r="I3" s="27"/>
      <c r="J3" s="27"/>
      <c r="K3" s="28"/>
      <c r="N3" s="104"/>
      <c r="P3" s="104"/>
    </row>
    <row r="4" spans="2:16" x14ac:dyDescent="0.25">
      <c r="B4" s="31"/>
      <c r="C4" s="27" t="s">
        <v>199</v>
      </c>
      <c r="D4" t="s">
        <v>71</v>
      </c>
      <c r="E4" s="27" t="s">
        <v>206</v>
      </c>
      <c r="F4" s="27" t="s">
        <v>71</v>
      </c>
      <c r="G4" s="27" t="s">
        <v>202</v>
      </c>
      <c r="H4" s="27" t="s">
        <v>72</v>
      </c>
      <c r="I4" s="27">
        <v>0</v>
      </c>
      <c r="J4" s="5"/>
      <c r="K4" s="28"/>
      <c r="N4" s="104"/>
      <c r="P4" s="104"/>
    </row>
    <row r="5" spans="2:16" x14ac:dyDescent="0.25">
      <c r="B5" s="31"/>
      <c r="C5" s="27"/>
      <c r="D5" s="27" t="s">
        <v>204</v>
      </c>
      <c r="E5" s="27" t="s">
        <v>45</v>
      </c>
      <c r="F5" s="27" t="s">
        <v>200</v>
      </c>
      <c r="G5" s="27" t="s">
        <v>45</v>
      </c>
      <c r="H5" s="27" t="s">
        <v>201</v>
      </c>
      <c r="I5" s="27" t="s">
        <v>72</v>
      </c>
      <c r="J5" s="27">
        <v>100</v>
      </c>
      <c r="K5" s="28"/>
      <c r="N5" s="104"/>
      <c r="P5" s="104"/>
    </row>
    <row r="6" spans="2:16" x14ac:dyDescent="0.25">
      <c r="B6" s="31"/>
      <c r="C6" s="27"/>
      <c r="D6" s="27" t="s">
        <v>207</v>
      </c>
      <c r="E6" s="27" t="s">
        <v>45</v>
      </c>
      <c r="F6" s="27" t="s">
        <v>200</v>
      </c>
      <c r="G6" s="27" t="s">
        <v>45</v>
      </c>
      <c r="H6" s="27" t="s">
        <v>203</v>
      </c>
      <c r="I6" s="66" t="s">
        <v>72</v>
      </c>
      <c r="J6" s="27">
        <v>80</v>
      </c>
      <c r="K6" s="28"/>
      <c r="N6" s="104"/>
      <c r="P6" s="104"/>
    </row>
    <row r="7" spans="2:16" x14ac:dyDescent="0.25">
      <c r="B7" s="31"/>
      <c r="C7" s="27"/>
      <c r="D7" s="27" t="s">
        <v>204</v>
      </c>
      <c r="E7" s="27" t="s">
        <v>45</v>
      </c>
      <c r="F7" s="27" t="s">
        <v>205</v>
      </c>
      <c r="G7" s="66" t="s">
        <v>72</v>
      </c>
      <c r="H7" s="27">
        <v>40</v>
      </c>
      <c r="I7"/>
      <c r="J7"/>
      <c r="K7" s="28"/>
      <c r="N7" s="104"/>
      <c r="P7" s="104"/>
    </row>
    <row r="8" spans="2:16" ht="15.75" thickBot="1" x14ac:dyDescent="0.3">
      <c r="B8" s="32"/>
      <c r="C8" s="34"/>
      <c r="D8" s="34"/>
      <c r="E8" s="34"/>
      <c r="F8" s="34"/>
      <c r="G8" s="14"/>
      <c r="H8" s="14"/>
      <c r="I8" s="34"/>
      <c r="J8" s="34"/>
      <c r="K8" s="35"/>
      <c r="N8" s="104"/>
      <c r="P8" s="104"/>
    </row>
    <row r="9" spans="2:16" ht="15.75" thickBot="1" x14ac:dyDescent="0.3">
      <c r="N9" s="104"/>
      <c r="P9" s="104"/>
    </row>
    <row r="10" spans="2:16" x14ac:dyDescent="0.25">
      <c r="B10" s="126" t="s">
        <v>214</v>
      </c>
      <c r="C10" s="127"/>
      <c r="D10" s="127"/>
      <c r="E10" s="127"/>
      <c r="F10" s="127"/>
      <c r="G10" s="127"/>
      <c r="H10" s="127"/>
      <c r="I10" s="127"/>
      <c r="J10" s="127"/>
      <c r="K10" s="128"/>
      <c r="N10" s="104"/>
      <c r="P10" s="104"/>
    </row>
    <row r="11" spans="2:16" ht="15.75" thickBot="1" x14ac:dyDescent="0.3">
      <c r="B11" s="31"/>
      <c r="C11" s="27"/>
      <c r="D11" s="27"/>
      <c r="E11" s="27"/>
      <c r="F11" s="27"/>
      <c r="G11" s="27"/>
      <c r="H11" s="27"/>
      <c r="I11" s="5"/>
      <c r="J11" s="5"/>
      <c r="K11" s="6"/>
      <c r="N11" s="104"/>
      <c r="P11" s="104"/>
    </row>
    <row r="12" spans="2:16" x14ac:dyDescent="0.25">
      <c r="B12" s="31"/>
      <c r="C12" s="106" t="s">
        <v>221</v>
      </c>
      <c r="D12" s="100" t="s">
        <v>209</v>
      </c>
      <c r="E12" s="99" t="s">
        <v>210</v>
      </c>
      <c r="F12" s="99" t="s">
        <v>211</v>
      </c>
      <c r="G12" s="99" t="s">
        <v>212</v>
      </c>
      <c r="H12" s="99" t="s">
        <v>213</v>
      </c>
      <c r="I12" s="2" t="s">
        <v>15</v>
      </c>
      <c r="J12" s="98" t="s">
        <v>215</v>
      </c>
      <c r="K12" s="6"/>
      <c r="N12" s="104"/>
      <c r="P12" s="104"/>
    </row>
    <row r="13" spans="2:16" x14ac:dyDescent="0.25">
      <c r="B13" s="31"/>
      <c r="C13" s="29" t="s">
        <v>196</v>
      </c>
      <c r="D13" s="7">
        <v>-3</v>
      </c>
      <c r="E13" s="20">
        <v>-2</v>
      </c>
      <c r="F13" s="20">
        <v>0</v>
      </c>
      <c r="G13" s="20">
        <v>0</v>
      </c>
      <c r="H13" s="20">
        <v>0</v>
      </c>
      <c r="I13" s="20">
        <v>0</v>
      </c>
      <c r="J13" s="37"/>
      <c r="K13" s="6"/>
      <c r="N13" s="104"/>
      <c r="P13" s="104"/>
    </row>
    <row r="14" spans="2:16" x14ac:dyDescent="0.25">
      <c r="B14" s="31"/>
      <c r="C14" s="4">
        <v>1</v>
      </c>
      <c r="D14" s="7">
        <v>2</v>
      </c>
      <c r="E14" s="5">
        <v>1</v>
      </c>
      <c r="F14" s="5">
        <v>1</v>
      </c>
      <c r="G14" s="5">
        <v>0</v>
      </c>
      <c r="H14" s="5">
        <v>0</v>
      </c>
      <c r="I14" s="5">
        <v>100</v>
      </c>
      <c r="J14" s="6">
        <f>I14/D14</f>
        <v>50</v>
      </c>
      <c r="K14" s="6"/>
      <c r="N14" s="104"/>
      <c r="P14" s="104"/>
    </row>
    <row r="15" spans="2:16" x14ac:dyDescent="0.25">
      <c r="B15" s="31"/>
      <c r="C15" s="4">
        <v>2</v>
      </c>
      <c r="D15" s="7">
        <v>1</v>
      </c>
      <c r="E15" s="5">
        <v>1</v>
      </c>
      <c r="F15" s="5">
        <v>0</v>
      </c>
      <c r="G15" s="5">
        <v>1</v>
      </c>
      <c r="H15" s="5">
        <v>0</v>
      </c>
      <c r="I15" s="5">
        <v>80</v>
      </c>
      <c r="J15" s="6">
        <f>I15/D15</f>
        <v>80</v>
      </c>
      <c r="K15" s="6"/>
      <c r="N15" s="104"/>
      <c r="P15" s="104"/>
    </row>
    <row r="16" spans="2:16" ht="15.75" thickBot="1" x14ac:dyDescent="0.3">
      <c r="B16" s="31"/>
      <c r="C16" s="10">
        <v>3</v>
      </c>
      <c r="D16" s="11">
        <v>1</v>
      </c>
      <c r="E16" s="11">
        <v>0</v>
      </c>
      <c r="F16" s="11">
        <v>0</v>
      </c>
      <c r="G16" s="11">
        <v>0</v>
      </c>
      <c r="H16" s="11">
        <v>1</v>
      </c>
      <c r="I16" s="11">
        <v>40</v>
      </c>
      <c r="J16" s="12">
        <f>I16/D16</f>
        <v>40</v>
      </c>
      <c r="K16" s="6"/>
      <c r="N16" s="104"/>
      <c r="P16" s="104"/>
    </row>
    <row r="17" spans="2:16" ht="15.75" thickBot="1" x14ac:dyDescent="0.3">
      <c r="B17" s="31"/>
      <c r="C17" s="5"/>
      <c r="D17" s="5"/>
      <c r="E17" s="5"/>
      <c r="F17" s="5"/>
      <c r="G17" s="5"/>
      <c r="H17" s="5"/>
      <c r="I17" s="5"/>
      <c r="J17" s="5"/>
      <c r="K17" s="6"/>
      <c r="N17" s="104"/>
      <c r="P17" s="104"/>
    </row>
    <row r="18" spans="2:16" ht="15.75" thickBot="1" x14ac:dyDescent="0.3">
      <c r="B18" s="31"/>
      <c r="C18" s="106" t="s">
        <v>222</v>
      </c>
      <c r="D18" s="101" t="s">
        <v>209</v>
      </c>
      <c r="E18" s="100" t="s">
        <v>210</v>
      </c>
      <c r="F18" s="99" t="s">
        <v>211</v>
      </c>
      <c r="G18" s="99" t="s">
        <v>212</v>
      </c>
      <c r="H18" s="99" t="s">
        <v>213</v>
      </c>
      <c r="I18" s="2" t="s">
        <v>15</v>
      </c>
      <c r="J18" s="98" t="s">
        <v>215</v>
      </c>
      <c r="K18" s="6"/>
      <c r="N18" s="105"/>
      <c r="P18" s="105"/>
    </row>
    <row r="19" spans="2:16" ht="15.75" thickBot="1" x14ac:dyDescent="0.3">
      <c r="B19" s="31"/>
      <c r="C19" s="29" t="s">
        <v>196</v>
      </c>
      <c r="D19" s="20">
        <f t="shared" ref="D19:I21" si="0">D13-($D13*D$22)</f>
        <v>0</v>
      </c>
      <c r="E19" s="7">
        <f t="shared" si="0"/>
        <v>-2</v>
      </c>
      <c r="F19" s="20">
        <f t="shared" si="0"/>
        <v>0</v>
      </c>
      <c r="G19" s="20">
        <f t="shared" si="0"/>
        <v>0</v>
      </c>
      <c r="H19" s="20">
        <f t="shared" si="0"/>
        <v>3</v>
      </c>
      <c r="I19" s="20">
        <f t="shared" si="0"/>
        <v>120</v>
      </c>
      <c r="J19" s="37"/>
      <c r="K19" s="6"/>
    </row>
    <row r="20" spans="2:16" x14ac:dyDescent="0.25">
      <c r="B20" s="31"/>
      <c r="C20" s="16">
        <v>1</v>
      </c>
      <c r="D20" s="7">
        <f t="shared" si="0"/>
        <v>0</v>
      </c>
      <c r="E20" s="7">
        <f t="shared" si="0"/>
        <v>1</v>
      </c>
      <c r="F20" s="7">
        <f t="shared" si="0"/>
        <v>1</v>
      </c>
      <c r="G20" s="7">
        <f t="shared" si="0"/>
        <v>0</v>
      </c>
      <c r="H20" s="7">
        <f t="shared" si="0"/>
        <v>-2</v>
      </c>
      <c r="I20" s="7">
        <f t="shared" si="0"/>
        <v>20</v>
      </c>
      <c r="J20" s="17">
        <f>I20/E20</f>
        <v>20</v>
      </c>
      <c r="K20" s="6"/>
      <c r="N20" s="103" t="s">
        <v>219</v>
      </c>
    </row>
    <row r="21" spans="2:16" x14ac:dyDescent="0.25">
      <c r="B21" s="31"/>
      <c r="C21" s="4">
        <v>2</v>
      </c>
      <c r="D21" s="5">
        <f t="shared" si="0"/>
        <v>0</v>
      </c>
      <c r="E21" s="7">
        <f t="shared" si="0"/>
        <v>1</v>
      </c>
      <c r="F21" s="5">
        <f t="shared" si="0"/>
        <v>0</v>
      </c>
      <c r="G21" s="5">
        <f t="shared" si="0"/>
        <v>1</v>
      </c>
      <c r="H21" s="5">
        <f t="shared" si="0"/>
        <v>-1</v>
      </c>
      <c r="I21" s="5">
        <f t="shared" si="0"/>
        <v>40</v>
      </c>
      <c r="J21" s="6">
        <f>I21/E21</f>
        <v>40</v>
      </c>
      <c r="K21" s="6"/>
      <c r="N21" s="104"/>
    </row>
    <row r="22" spans="2:16" ht="15.75" thickBot="1" x14ac:dyDescent="0.3">
      <c r="B22" s="31"/>
      <c r="C22" s="13">
        <v>3</v>
      </c>
      <c r="D22" s="14">
        <f t="shared" ref="D22:I22" si="1">D16/$D$16</f>
        <v>1</v>
      </c>
      <c r="E22" s="11">
        <f t="shared" si="1"/>
        <v>0</v>
      </c>
      <c r="F22" s="14">
        <f t="shared" si="1"/>
        <v>0</v>
      </c>
      <c r="G22" s="14">
        <f t="shared" si="1"/>
        <v>0</v>
      </c>
      <c r="H22" s="14">
        <f t="shared" si="1"/>
        <v>1</v>
      </c>
      <c r="I22" s="14">
        <f t="shared" si="1"/>
        <v>40</v>
      </c>
      <c r="J22" s="15">
        <v>0</v>
      </c>
      <c r="K22" s="6"/>
      <c r="N22" s="104"/>
    </row>
    <row r="23" spans="2:16" ht="15.75" thickBot="1" x14ac:dyDescent="0.3">
      <c r="B23" s="31"/>
      <c r="C23" s="5"/>
      <c r="D23" s="5"/>
      <c r="E23" s="5"/>
      <c r="F23" s="5"/>
      <c r="G23" s="5"/>
      <c r="H23" s="5"/>
      <c r="I23" s="5"/>
      <c r="J23" s="5"/>
      <c r="K23" s="6"/>
      <c r="N23" s="104"/>
    </row>
    <row r="24" spans="2:16" x14ac:dyDescent="0.25">
      <c r="B24" s="31"/>
      <c r="C24" s="106" t="s">
        <v>223</v>
      </c>
      <c r="D24" s="101" t="s">
        <v>209</v>
      </c>
      <c r="E24" s="99" t="s">
        <v>210</v>
      </c>
      <c r="F24" s="99" t="s">
        <v>211</v>
      </c>
      <c r="G24" s="99" t="s">
        <v>212</v>
      </c>
      <c r="H24" s="100" t="s">
        <v>213</v>
      </c>
      <c r="I24" s="2" t="s">
        <v>15</v>
      </c>
      <c r="J24" s="98" t="s">
        <v>215</v>
      </c>
      <c r="K24" s="6"/>
      <c r="N24" s="104"/>
    </row>
    <row r="25" spans="2:16" x14ac:dyDescent="0.25">
      <c r="B25" s="31"/>
      <c r="C25" s="29" t="s">
        <v>196</v>
      </c>
      <c r="D25" s="20">
        <f t="shared" ref="D25:I25" si="2">D19-($E19*D$26)</f>
        <v>0</v>
      </c>
      <c r="E25" s="20">
        <f t="shared" si="2"/>
        <v>0</v>
      </c>
      <c r="F25" s="20">
        <f t="shared" si="2"/>
        <v>2</v>
      </c>
      <c r="G25" s="20">
        <f t="shared" si="2"/>
        <v>0</v>
      </c>
      <c r="H25" s="7">
        <f t="shared" si="2"/>
        <v>-1</v>
      </c>
      <c r="I25" s="20">
        <f t="shared" si="2"/>
        <v>160</v>
      </c>
      <c r="J25" s="37"/>
      <c r="K25" s="6"/>
      <c r="N25" s="104"/>
    </row>
    <row r="26" spans="2:16" x14ac:dyDescent="0.25">
      <c r="B26" s="31"/>
      <c r="C26" s="4">
        <v>1</v>
      </c>
      <c r="D26" s="5">
        <f t="shared" ref="D26:I26" si="3">D20/$E$20</f>
        <v>0</v>
      </c>
      <c r="E26" s="5">
        <f t="shared" si="3"/>
        <v>1</v>
      </c>
      <c r="F26" s="5">
        <f t="shared" si="3"/>
        <v>1</v>
      </c>
      <c r="G26" s="5">
        <f t="shared" si="3"/>
        <v>0</v>
      </c>
      <c r="H26" s="7">
        <f t="shared" si="3"/>
        <v>-2</v>
      </c>
      <c r="I26" s="5">
        <f t="shared" si="3"/>
        <v>20</v>
      </c>
      <c r="J26" s="6">
        <f>I26/H26</f>
        <v>-10</v>
      </c>
      <c r="K26" s="6"/>
      <c r="N26" s="104"/>
    </row>
    <row r="27" spans="2:16" x14ac:dyDescent="0.25">
      <c r="B27" s="31"/>
      <c r="C27" s="16">
        <v>2</v>
      </c>
      <c r="D27" s="7">
        <f t="shared" ref="D27:I28" si="4">D21-($E21*D$26)</f>
        <v>0</v>
      </c>
      <c r="E27" s="7">
        <f t="shared" si="4"/>
        <v>0</v>
      </c>
      <c r="F27" s="7">
        <f t="shared" si="4"/>
        <v>-1</v>
      </c>
      <c r="G27" s="7">
        <f t="shared" si="4"/>
        <v>1</v>
      </c>
      <c r="H27" s="7">
        <f t="shared" si="4"/>
        <v>1</v>
      </c>
      <c r="I27" s="7">
        <f t="shared" si="4"/>
        <v>20</v>
      </c>
      <c r="J27" s="17">
        <f>I27/H27</f>
        <v>20</v>
      </c>
      <c r="K27" s="6"/>
      <c r="N27" s="104"/>
    </row>
    <row r="28" spans="2:16" ht="15.75" thickBot="1" x14ac:dyDescent="0.3">
      <c r="B28" s="31"/>
      <c r="C28" s="13">
        <v>3</v>
      </c>
      <c r="D28" s="14">
        <f t="shared" si="4"/>
        <v>1</v>
      </c>
      <c r="E28" s="14">
        <f t="shared" si="4"/>
        <v>0</v>
      </c>
      <c r="F28" s="14">
        <f t="shared" si="4"/>
        <v>0</v>
      </c>
      <c r="G28" s="14">
        <f t="shared" si="4"/>
        <v>0</v>
      </c>
      <c r="H28" s="11">
        <f t="shared" si="4"/>
        <v>1</v>
      </c>
      <c r="I28" s="14">
        <f t="shared" si="4"/>
        <v>40</v>
      </c>
      <c r="J28" s="15">
        <f>I28/H28</f>
        <v>40</v>
      </c>
      <c r="K28" s="6"/>
      <c r="N28" s="104"/>
    </row>
    <row r="29" spans="2:16" ht="15.75" thickBot="1" x14ac:dyDescent="0.3">
      <c r="B29" s="31"/>
      <c r="C29" s="5"/>
      <c r="D29" s="5"/>
      <c r="E29" s="5"/>
      <c r="F29" s="5"/>
      <c r="G29" s="5"/>
      <c r="H29" s="5"/>
      <c r="I29" s="5"/>
      <c r="J29" s="5"/>
      <c r="K29" s="6"/>
      <c r="N29" s="104"/>
    </row>
    <row r="30" spans="2:16" x14ac:dyDescent="0.25">
      <c r="B30" s="31"/>
      <c r="C30" s="106" t="s">
        <v>224</v>
      </c>
      <c r="D30" s="102" t="s">
        <v>209</v>
      </c>
      <c r="E30" s="102" t="s">
        <v>210</v>
      </c>
      <c r="F30" s="99" t="s">
        <v>211</v>
      </c>
      <c r="G30" s="99" t="s">
        <v>212</v>
      </c>
      <c r="H30" s="99" t="s">
        <v>213</v>
      </c>
      <c r="I30" s="2" t="s">
        <v>15</v>
      </c>
      <c r="J30" s="29"/>
      <c r="K30" s="6"/>
      <c r="N30" s="104"/>
    </row>
    <row r="31" spans="2:16" x14ac:dyDescent="0.25">
      <c r="B31" s="31"/>
      <c r="C31" s="29" t="s">
        <v>196</v>
      </c>
      <c r="D31" s="5">
        <f t="shared" ref="D31:I32" si="5">D25-($H25*D$33)</f>
        <v>0</v>
      </c>
      <c r="E31" s="5">
        <f t="shared" si="5"/>
        <v>0</v>
      </c>
      <c r="F31" s="5">
        <f t="shared" si="5"/>
        <v>1</v>
      </c>
      <c r="G31" s="5">
        <f t="shared" si="5"/>
        <v>1</v>
      </c>
      <c r="H31" s="5">
        <f t="shared" si="5"/>
        <v>0</v>
      </c>
      <c r="I31" s="18">
        <f t="shared" si="5"/>
        <v>180</v>
      </c>
      <c r="J31" s="8"/>
      <c r="K31" s="6"/>
      <c r="N31" s="104"/>
    </row>
    <row r="32" spans="2:16" x14ac:dyDescent="0.25">
      <c r="B32" s="31"/>
      <c r="C32" s="4">
        <v>1</v>
      </c>
      <c r="D32" s="5">
        <f t="shared" si="5"/>
        <v>0</v>
      </c>
      <c r="E32" s="18">
        <f t="shared" si="5"/>
        <v>1</v>
      </c>
      <c r="F32" s="5">
        <f t="shared" si="5"/>
        <v>-1</v>
      </c>
      <c r="G32" s="5">
        <f t="shared" si="5"/>
        <v>2</v>
      </c>
      <c r="H32" s="5">
        <f t="shared" si="5"/>
        <v>0</v>
      </c>
      <c r="I32" s="18">
        <f t="shared" si="5"/>
        <v>60</v>
      </c>
      <c r="J32" s="8"/>
      <c r="K32" s="6"/>
      <c r="N32" s="104"/>
    </row>
    <row r="33" spans="2:14" x14ac:dyDescent="0.25">
      <c r="B33" s="31"/>
      <c r="C33" s="4">
        <v>2</v>
      </c>
      <c r="D33" s="5">
        <f t="shared" ref="D33:I33" si="6">D27/$H$27</f>
        <v>0</v>
      </c>
      <c r="E33" s="5">
        <f t="shared" si="6"/>
        <v>0</v>
      </c>
      <c r="F33" s="5">
        <f t="shared" si="6"/>
        <v>-1</v>
      </c>
      <c r="G33" s="5">
        <f t="shared" si="6"/>
        <v>1</v>
      </c>
      <c r="H33" s="5">
        <f t="shared" si="6"/>
        <v>1</v>
      </c>
      <c r="I33" s="5">
        <f t="shared" si="6"/>
        <v>20</v>
      </c>
      <c r="J33" s="8"/>
      <c r="K33" s="6"/>
      <c r="N33" s="104"/>
    </row>
    <row r="34" spans="2:14" ht="15.75" thickBot="1" x14ac:dyDescent="0.3">
      <c r="B34" s="31"/>
      <c r="C34" s="13">
        <v>3</v>
      </c>
      <c r="D34" s="19">
        <f t="shared" ref="D34:I34" si="7">D28-($H28*D$33)</f>
        <v>1</v>
      </c>
      <c r="E34" s="14">
        <f t="shared" si="7"/>
        <v>0</v>
      </c>
      <c r="F34" s="14">
        <f t="shared" si="7"/>
        <v>1</v>
      </c>
      <c r="G34" s="14">
        <f t="shared" si="7"/>
        <v>-1</v>
      </c>
      <c r="H34" s="14">
        <f t="shared" si="7"/>
        <v>0</v>
      </c>
      <c r="I34" s="19">
        <f t="shared" si="7"/>
        <v>20</v>
      </c>
      <c r="J34" s="8"/>
      <c r="K34" s="6"/>
      <c r="N34" s="104"/>
    </row>
    <row r="35" spans="2:14" ht="15.75" thickBot="1" x14ac:dyDescent="0.3">
      <c r="B35" s="31"/>
      <c r="C35" s="27"/>
      <c r="D35" s="27"/>
      <c r="E35" s="27"/>
      <c r="F35" s="27"/>
      <c r="G35" s="27"/>
      <c r="H35" s="27"/>
      <c r="I35" s="5"/>
      <c r="J35" s="5"/>
      <c r="K35" s="6"/>
      <c r="N35" s="104"/>
    </row>
    <row r="36" spans="2:14" x14ac:dyDescent="0.25">
      <c r="B36" s="31"/>
      <c r="C36" s="108" t="s">
        <v>89</v>
      </c>
      <c r="D36" s="109"/>
      <c r="E36" s="110"/>
      <c r="F36" s="27"/>
      <c r="G36" s="27"/>
      <c r="H36" s="27"/>
      <c r="I36" s="5"/>
      <c r="J36" s="5"/>
      <c r="K36" s="6"/>
      <c r="N36" s="104"/>
    </row>
    <row r="37" spans="2:14" ht="15.75" thickBot="1" x14ac:dyDescent="0.3">
      <c r="B37" s="31"/>
      <c r="C37" s="32" t="s">
        <v>200</v>
      </c>
      <c r="D37" s="34" t="s">
        <v>205</v>
      </c>
      <c r="E37" s="35" t="s">
        <v>207</v>
      </c>
      <c r="F37" s="27"/>
      <c r="G37" s="27"/>
      <c r="H37" s="27"/>
      <c r="I37" s="5"/>
      <c r="J37" s="5"/>
      <c r="K37" s="6"/>
      <c r="N37" s="105"/>
    </row>
    <row r="38" spans="2:14" ht="15.75" thickBot="1" x14ac:dyDescent="0.3">
      <c r="B38" s="32"/>
      <c r="C38" s="34"/>
      <c r="D38" s="34"/>
      <c r="E38" s="34"/>
      <c r="F38" s="34"/>
      <c r="G38" s="34"/>
      <c r="H38" s="34"/>
      <c r="I38" s="14"/>
      <c r="J38" s="14"/>
      <c r="K38" s="15"/>
    </row>
  </sheetData>
  <mergeCells count="3">
    <mergeCell ref="B2:K2"/>
    <mergeCell ref="B10:K10"/>
    <mergeCell ref="C36:E3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X84"/>
  <sheetViews>
    <sheetView zoomScale="55" zoomScaleNormal="55" workbookViewId="0">
      <pane ySplit="9" topLeftCell="A10" activePane="bottomLeft" state="frozen"/>
      <selection pane="bottomLeft"/>
    </sheetView>
  </sheetViews>
  <sheetFormatPr defaultRowHeight="15" x14ac:dyDescent="0.25"/>
  <cols>
    <col min="1" max="1" width="3" customWidth="1"/>
    <col min="2" max="2" width="5.85546875" bestFit="1" customWidth="1"/>
    <col min="3" max="3" width="4.5703125" bestFit="1" customWidth="1"/>
    <col min="4" max="4" width="5.140625" bestFit="1" customWidth="1"/>
    <col min="5" max="5" width="4.5703125" bestFit="1" customWidth="1"/>
    <col min="6" max="7" width="5.140625" bestFit="1" customWidth="1"/>
    <col min="8" max="8" width="5.85546875" bestFit="1" customWidth="1"/>
    <col min="9" max="9" width="3.7109375" bestFit="1" customWidth="1"/>
    <col min="10" max="10" width="5.5703125" bestFit="1" customWidth="1"/>
    <col min="12" max="13" width="5.5703125" bestFit="1" customWidth="1"/>
    <col min="14" max="14" width="6.5703125" bestFit="1" customWidth="1"/>
    <col min="15" max="15" width="5.5703125" bestFit="1" customWidth="1"/>
    <col min="16" max="17" width="4.85546875" bestFit="1" customWidth="1"/>
    <col min="18" max="18" width="5.5703125" bestFit="1" customWidth="1"/>
    <col min="19" max="19" width="5.85546875" bestFit="1" customWidth="1"/>
    <col min="20" max="20" width="4" bestFit="1" customWidth="1"/>
    <col min="21" max="21" width="4.28515625" bestFit="1" customWidth="1"/>
    <col min="22" max="22" width="5.140625" bestFit="1" customWidth="1"/>
    <col min="23" max="24" width="3.42578125" customWidth="1"/>
  </cols>
  <sheetData>
    <row r="1" spans="2:19" ht="15.75" thickBot="1" x14ac:dyDescent="0.3"/>
    <row r="2" spans="2:19" x14ac:dyDescent="0.25">
      <c r="B2" s="108" t="s">
        <v>216</v>
      </c>
      <c r="C2" s="109"/>
      <c r="D2" s="109"/>
      <c r="E2" s="109"/>
      <c r="F2" s="109"/>
      <c r="G2" s="109"/>
      <c r="H2" s="109"/>
      <c r="I2" s="109"/>
      <c r="J2" s="109"/>
      <c r="K2" s="110"/>
      <c r="M2" s="108" t="s">
        <v>190</v>
      </c>
      <c r="N2" s="109"/>
      <c r="O2" s="109"/>
      <c r="P2" s="109"/>
      <c r="Q2" s="109"/>
      <c r="R2" s="109"/>
      <c r="S2" s="110"/>
    </row>
    <row r="3" spans="2:19" x14ac:dyDescent="0.25">
      <c r="B3" s="30"/>
      <c r="C3" s="27"/>
      <c r="D3" s="27"/>
      <c r="E3" s="27"/>
      <c r="F3" s="27"/>
      <c r="G3" s="5"/>
      <c r="H3" s="5"/>
      <c r="I3" s="27"/>
      <c r="J3" s="27"/>
      <c r="K3" s="28"/>
      <c r="M3" s="9" t="s">
        <v>62</v>
      </c>
      <c r="N3" s="94" t="s">
        <v>209</v>
      </c>
      <c r="O3" s="94" t="s">
        <v>210</v>
      </c>
      <c r="P3" s="94" t="s">
        <v>211</v>
      </c>
      <c r="Q3" s="94" t="s">
        <v>212</v>
      </c>
      <c r="R3" s="94" t="s">
        <v>213</v>
      </c>
      <c r="S3" s="95" t="s">
        <v>15</v>
      </c>
    </row>
    <row r="4" spans="2:19" x14ac:dyDescent="0.25">
      <c r="B4" s="31"/>
      <c r="C4" s="27" t="s">
        <v>199</v>
      </c>
      <c r="D4" s="27" t="s">
        <v>206</v>
      </c>
      <c r="E4" s="27" t="s">
        <v>45</v>
      </c>
      <c r="F4" s="27" t="s">
        <v>202</v>
      </c>
      <c r="G4" s="27" t="s">
        <v>72</v>
      </c>
      <c r="H4" s="27">
        <v>0</v>
      </c>
      <c r="I4" s="5"/>
      <c r="J4" s="5"/>
      <c r="K4" s="28"/>
      <c r="M4" s="29" t="s">
        <v>208</v>
      </c>
      <c r="N4" s="20">
        <v>3</v>
      </c>
      <c r="O4" s="20">
        <v>2</v>
      </c>
      <c r="P4" s="20">
        <v>0</v>
      </c>
      <c r="Q4" s="20">
        <v>0</v>
      </c>
      <c r="R4" s="20">
        <v>0</v>
      </c>
      <c r="S4" s="37">
        <v>0</v>
      </c>
    </row>
    <row r="5" spans="2:19" x14ac:dyDescent="0.25">
      <c r="B5" s="31"/>
      <c r="C5" s="27"/>
      <c r="D5" s="27" t="s">
        <v>204</v>
      </c>
      <c r="E5" s="27" t="s">
        <v>45</v>
      </c>
      <c r="F5" s="27" t="s">
        <v>200</v>
      </c>
      <c r="G5" s="27" t="s">
        <v>45</v>
      </c>
      <c r="H5" s="27" t="s">
        <v>201</v>
      </c>
      <c r="I5" s="27" t="s">
        <v>72</v>
      </c>
      <c r="J5" s="27">
        <v>100</v>
      </c>
      <c r="K5" s="28"/>
      <c r="M5" s="29">
        <v>1</v>
      </c>
      <c r="N5" s="20">
        <v>2</v>
      </c>
      <c r="O5" s="20">
        <v>1</v>
      </c>
      <c r="P5" s="20">
        <v>1</v>
      </c>
      <c r="Q5" s="20">
        <v>0</v>
      </c>
      <c r="R5" s="20">
        <v>0</v>
      </c>
      <c r="S5" s="37">
        <v>100</v>
      </c>
    </row>
    <row r="6" spans="2:19" x14ac:dyDescent="0.25">
      <c r="B6" s="31"/>
      <c r="C6" s="27"/>
      <c r="D6" s="27" t="s">
        <v>207</v>
      </c>
      <c r="E6" s="27" t="s">
        <v>45</v>
      </c>
      <c r="F6" s="27" t="s">
        <v>200</v>
      </c>
      <c r="G6" s="27" t="s">
        <v>45</v>
      </c>
      <c r="H6" s="27" t="s">
        <v>203</v>
      </c>
      <c r="I6" s="66" t="s">
        <v>72</v>
      </c>
      <c r="J6" s="27">
        <v>80</v>
      </c>
      <c r="K6" s="28"/>
      <c r="M6" s="29">
        <v>2</v>
      </c>
      <c r="N6" s="20">
        <v>1</v>
      </c>
      <c r="O6" s="20">
        <v>1</v>
      </c>
      <c r="P6" s="20">
        <v>0</v>
      </c>
      <c r="Q6" s="20">
        <v>1</v>
      </c>
      <c r="R6" s="20">
        <v>0</v>
      </c>
      <c r="S6" s="37">
        <v>80</v>
      </c>
    </row>
    <row r="7" spans="2:19" ht="15.75" thickBot="1" x14ac:dyDescent="0.3">
      <c r="B7" s="31"/>
      <c r="C7" s="27"/>
      <c r="D7" s="27" t="s">
        <v>204</v>
      </c>
      <c r="E7" s="27" t="s">
        <v>45</v>
      </c>
      <c r="F7" s="27" t="s">
        <v>205</v>
      </c>
      <c r="G7" s="66" t="s">
        <v>72</v>
      </c>
      <c r="H7" s="27">
        <v>40</v>
      </c>
      <c r="K7" s="28"/>
      <c r="M7" s="38">
        <v>3</v>
      </c>
      <c r="N7" s="39">
        <v>1</v>
      </c>
      <c r="O7" s="39">
        <v>0</v>
      </c>
      <c r="P7" s="39">
        <v>0</v>
      </c>
      <c r="Q7" s="39">
        <v>0</v>
      </c>
      <c r="R7" s="39">
        <v>1</v>
      </c>
      <c r="S7" s="40">
        <v>40</v>
      </c>
    </row>
    <row r="8" spans="2:19" ht="15.75" thickBot="1" x14ac:dyDescent="0.3">
      <c r="B8" s="32"/>
      <c r="C8" s="34"/>
      <c r="D8" s="34"/>
      <c r="E8" s="34"/>
      <c r="F8" s="34"/>
      <c r="G8" s="14"/>
      <c r="H8" s="14"/>
      <c r="I8" s="34"/>
      <c r="J8" s="34"/>
      <c r="K8" s="35"/>
    </row>
    <row r="10" spans="2:19" ht="15.75" thickBot="1" x14ac:dyDescent="0.3"/>
    <row r="11" spans="2:19" x14ac:dyDescent="0.25">
      <c r="B11" s="108" t="s">
        <v>130</v>
      </c>
      <c r="C11" s="109"/>
      <c r="D11" s="109"/>
      <c r="E11" s="109"/>
      <c r="F11" s="109"/>
      <c r="G11" s="109"/>
      <c r="H11" s="109"/>
      <c r="I11" s="109"/>
      <c r="J11" s="109"/>
      <c r="K11" s="109"/>
      <c r="L11" s="109"/>
      <c r="M11" s="109"/>
      <c r="N11" s="109"/>
      <c r="O11" s="109"/>
      <c r="P11" s="109"/>
      <c r="Q11" s="109"/>
      <c r="R11" s="110"/>
    </row>
    <row r="12" spans="2:19" ht="15.75" thickBot="1" x14ac:dyDescent="0.3">
      <c r="B12" s="30"/>
      <c r="C12" s="27"/>
      <c r="D12" s="27"/>
      <c r="E12" s="27"/>
      <c r="F12" s="27"/>
      <c r="G12" s="27"/>
      <c r="H12" s="27"/>
      <c r="I12" s="27"/>
      <c r="J12" s="27"/>
      <c r="K12" s="27"/>
      <c r="L12" s="27"/>
      <c r="M12" s="27"/>
      <c r="N12" s="27"/>
      <c r="O12" s="27"/>
      <c r="P12" s="27"/>
      <c r="Q12" s="27"/>
      <c r="R12" s="28"/>
    </row>
    <row r="13" spans="2:19" x14ac:dyDescent="0.25">
      <c r="B13" s="31"/>
      <c r="C13" s="129" t="s">
        <v>88</v>
      </c>
      <c r="D13" s="130"/>
      <c r="E13" s="131"/>
      <c r="F13" s="27"/>
      <c r="G13" s="129" t="s">
        <v>63</v>
      </c>
      <c r="H13" s="130"/>
      <c r="I13" s="131"/>
      <c r="J13" s="27"/>
      <c r="K13" s="129" t="s">
        <v>133</v>
      </c>
      <c r="L13" s="130"/>
      <c r="M13" s="130"/>
      <c r="N13" s="130"/>
      <c r="O13" s="130"/>
      <c r="P13" s="130"/>
      <c r="Q13" s="131"/>
      <c r="R13" s="28"/>
    </row>
    <row r="14" spans="2:19" ht="15.75" thickBot="1" x14ac:dyDescent="0.3">
      <c r="B14" s="31"/>
      <c r="C14" s="32" t="str">
        <f>P3</f>
        <v>s1</v>
      </c>
      <c r="D14" s="34" t="str">
        <f>Q3</f>
        <v>s2</v>
      </c>
      <c r="E14" s="35" t="str">
        <f>R3</f>
        <v>s3</v>
      </c>
      <c r="F14" s="27"/>
      <c r="G14" s="85">
        <v>1</v>
      </c>
      <c r="H14" s="20">
        <v>0</v>
      </c>
      <c r="I14" s="37">
        <v>0</v>
      </c>
      <c r="J14" s="27"/>
      <c r="K14" s="31"/>
      <c r="L14" s="27"/>
      <c r="M14" s="27"/>
      <c r="N14" s="27"/>
      <c r="O14" s="27"/>
      <c r="P14" s="27"/>
      <c r="Q14" s="28"/>
      <c r="R14" s="28"/>
    </row>
    <row r="15" spans="2:19" ht="15.75" thickBot="1" x14ac:dyDescent="0.3">
      <c r="B15" s="31"/>
      <c r="C15" s="27"/>
      <c r="D15" s="27"/>
      <c r="E15" s="27"/>
      <c r="F15" s="27"/>
      <c r="G15" s="85">
        <v>0</v>
      </c>
      <c r="H15" s="20">
        <v>1</v>
      </c>
      <c r="I15" s="37">
        <v>0</v>
      </c>
      <c r="J15" s="27"/>
      <c r="K15" s="31"/>
      <c r="L15" s="27"/>
      <c r="M15" s="129" t="s">
        <v>132</v>
      </c>
      <c r="N15" s="131"/>
      <c r="O15" s="27"/>
      <c r="P15" s="27"/>
      <c r="Q15" s="28"/>
      <c r="R15" s="28"/>
    </row>
    <row r="16" spans="2:19" ht="15.75" thickBot="1" x14ac:dyDescent="0.3">
      <c r="B16" s="31"/>
      <c r="C16" s="134" t="s">
        <v>86</v>
      </c>
      <c r="D16" s="136"/>
      <c r="E16" s="135"/>
      <c r="F16" s="27"/>
      <c r="G16" s="84">
        <v>0</v>
      </c>
      <c r="H16" s="39">
        <v>0</v>
      </c>
      <c r="I16" s="40">
        <v>1</v>
      </c>
      <c r="J16" s="27"/>
      <c r="K16" s="31"/>
      <c r="L16" s="27"/>
      <c r="M16" s="32" t="str">
        <f>N3</f>
        <v>x1</v>
      </c>
      <c r="N16" s="35" t="str">
        <f>O3</f>
        <v>x2</v>
      </c>
      <c r="O16" s="27"/>
      <c r="P16" s="27"/>
      <c r="Q16" s="28"/>
      <c r="R16" s="28"/>
    </row>
    <row r="17" spans="2:24" ht="15.75" thickBot="1" x14ac:dyDescent="0.3">
      <c r="B17" s="31"/>
      <c r="C17" s="32">
        <f>P4</f>
        <v>0</v>
      </c>
      <c r="D17" s="34">
        <f>Q4</f>
        <v>0</v>
      </c>
      <c r="E17" s="35">
        <f>R4</f>
        <v>0</v>
      </c>
      <c r="F17" s="27"/>
      <c r="G17" s="27"/>
      <c r="H17" s="27"/>
      <c r="I17" s="27"/>
      <c r="J17" s="27"/>
      <c r="K17" s="31"/>
      <c r="L17" s="27"/>
      <c r="M17" s="27"/>
      <c r="N17" s="27"/>
      <c r="O17" s="27"/>
      <c r="P17" s="27"/>
      <c r="Q17" s="28"/>
      <c r="R17" s="28"/>
    </row>
    <row r="18" spans="2:24" ht="15.75" thickBot="1" x14ac:dyDescent="0.3">
      <c r="B18" s="31"/>
      <c r="C18" s="27"/>
      <c r="D18" s="27"/>
      <c r="E18" s="27"/>
      <c r="F18" s="27"/>
      <c r="G18" s="129" t="s">
        <v>68</v>
      </c>
      <c r="H18" s="130"/>
      <c r="I18" s="131"/>
      <c r="J18" s="27"/>
      <c r="K18" s="31"/>
      <c r="L18" s="27"/>
      <c r="M18" s="134" t="s">
        <v>87</v>
      </c>
      <c r="N18" s="135"/>
      <c r="O18" s="27"/>
      <c r="P18" s="27"/>
      <c r="Q18" s="28"/>
      <c r="R18" s="28"/>
    </row>
    <row r="19" spans="2:24" ht="15.75" thickBot="1" x14ac:dyDescent="0.3">
      <c r="B19" s="31"/>
      <c r="C19" s="129" t="s">
        <v>131</v>
      </c>
      <c r="D19" s="130"/>
      <c r="E19" s="131"/>
      <c r="F19" s="27"/>
      <c r="G19" s="85">
        <v>1</v>
      </c>
      <c r="H19" s="20">
        <v>0</v>
      </c>
      <c r="I19" s="37">
        <v>0</v>
      </c>
      <c r="J19" s="27"/>
      <c r="K19" s="31"/>
      <c r="L19" s="27"/>
      <c r="M19" s="32">
        <f>P4</f>
        <v>0</v>
      </c>
      <c r="N19" s="35">
        <f>Q4</f>
        <v>0</v>
      </c>
      <c r="O19" s="27"/>
      <c r="P19" s="27"/>
      <c r="Q19" s="28"/>
      <c r="R19" s="28"/>
    </row>
    <row r="20" spans="2:24" ht="15.75" thickBot="1" x14ac:dyDescent="0.3">
      <c r="B20" s="31"/>
      <c r="C20" s="32">
        <f t="array" ref="C20:E20">MMULT(C17:E17,G19:I21)</f>
        <v>0</v>
      </c>
      <c r="D20" s="34">
        <v>0</v>
      </c>
      <c r="E20" s="35">
        <v>0</v>
      </c>
      <c r="F20" s="27"/>
      <c r="G20" s="85">
        <v>0</v>
      </c>
      <c r="H20" s="20">
        <v>1</v>
      </c>
      <c r="I20" s="37">
        <v>0</v>
      </c>
      <c r="J20" s="27"/>
      <c r="K20" s="31"/>
      <c r="L20" s="27"/>
      <c r="M20" s="27"/>
      <c r="N20" s="27"/>
      <c r="O20" s="27"/>
      <c r="P20" s="27"/>
      <c r="Q20" s="28"/>
      <c r="R20" s="28"/>
    </row>
    <row r="21" spans="2:24" ht="15.75" thickBot="1" x14ac:dyDescent="0.3">
      <c r="B21" s="31"/>
      <c r="C21" s="27"/>
      <c r="D21" s="27"/>
      <c r="E21" s="27"/>
      <c r="F21" s="27"/>
      <c r="G21" s="84">
        <v>0</v>
      </c>
      <c r="H21" s="39">
        <v>0</v>
      </c>
      <c r="I21" s="40">
        <v>1</v>
      </c>
      <c r="J21" s="27"/>
      <c r="K21" s="31"/>
      <c r="L21" s="83"/>
      <c r="M21" s="82">
        <f>MMULT($C$20:$E$20,N5:N7)-N4</f>
        <v>-3</v>
      </c>
      <c r="N21" s="86">
        <f>MMULT($C$20:$E$20,O5:O7)-O4</f>
        <v>-2</v>
      </c>
      <c r="O21" s="81" t="s">
        <v>69</v>
      </c>
      <c r="P21" s="98" t="s">
        <v>215</v>
      </c>
      <c r="Q21" s="28"/>
      <c r="R21" s="28"/>
    </row>
    <row r="22" spans="2:24" ht="15.75" thickBot="1" x14ac:dyDescent="0.3">
      <c r="B22" s="31"/>
      <c r="C22" s="80" t="s">
        <v>10</v>
      </c>
      <c r="D22" s="79" t="s">
        <v>187</v>
      </c>
      <c r="E22" s="78" t="s">
        <v>14</v>
      </c>
      <c r="F22" s="27"/>
      <c r="G22" s="27"/>
      <c r="H22" s="27"/>
      <c r="I22" s="27"/>
      <c r="J22" s="27"/>
      <c r="K22" s="31"/>
      <c r="L22" s="132" t="s">
        <v>134</v>
      </c>
      <c r="M22" s="65">
        <f t="array" ref="M22:M24">MMULT(G19:I21,N5:N7)</f>
        <v>2</v>
      </c>
      <c r="N22" s="66"/>
      <c r="O22" s="66">
        <f t="array" ref="O22:O24">MMULT(G19:I21,S5:S7)</f>
        <v>100</v>
      </c>
      <c r="P22" s="53">
        <f>O22/M22</f>
        <v>50</v>
      </c>
      <c r="Q22" s="28"/>
      <c r="R22" s="28"/>
    </row>
    <row r="23" spans="2:24" x14ac:dyDescent="0.25">
      <c r="B23" s="31"/>
      <c r="C23" s="27"/>
      <c r="D23" s="27"/>
      <c r="E23" s="27"/>
      <c r="F23" s="27"/>
      <c r="G23" s="27"/>
      <c r="H23" s="27"/>
      <c r="I23" s="27"/>
      <c r="J23" s="27"/>
      <c r="K23" s="31"/>
      <c r="L23" s="132"/>
      <c r="M23" s="65">
        <v>1</v>
      </c>
      <c r="N23" s="66"/>
      <c r="O23" s="66">
        <v>80</v>
      </c>
      <c r="P23" s="53">
        <f>O23/M23</f>
        <v>80</v>
      </c>
      <c r="Q23" s="28"/>
      <c r="R23" s="28"/>
    </row>
    <row r="24" spans="2:24" ht="15.75" thickBot="1" x14ac:dyDescent="0.3">
      <c r="B24" s="31"/>
      <c r="C24" s="27"/>
      <c r="D24" s="27"/>
      <c r="E24" s="27"/>
      <c r="F24" s="27"/>
      <c r="G24" s="27"/>
      <c r="H24" s="27"/>
      <c r="I24" s="27"/>
      <c r="J24" s="27"/>
      <c r="K24" s="31"/>
      <c r="L24" s="133"/>
      <c r="M24" s="77">
        <v>1</v>
      </c>
      <c r="N24" s="77"/>
      <c r="O24" s="77">
        <v>40</v>
      </c>
      <c r="P24" s="76">
        <f>O24/M24</f>
        <v>40</v>
      </c>
      <c r="Q24" s="28"/>
      <c r="R24" s="28"/>
    </row>
    <row r="25" spans="2:24" ht="15.75" thickBot="1" x14ac:dyDescent="0.3">
      <c r="B25" s="31"/>
      <c r="C25" s="27"/>
      <c r="D25" s="27"/>
      <c r="E25" s="27"/>
      <c r="F25" s="27"/>
      <c r="G25" s="27"/>
      <c r="H25" s="27"/>
      <c r="I25" s="27"/>
      <c r="J25" s="27"/>
      <c r="K25" s="32"/>
      <c r="L25" s="34"/>
      <c r="M25" s="34"/>
      <c r="N25" s="34"/>
      <c r="O25" s="34"/>
      <c r="P25" s="34"/>
      <c r="Q25" s="35"/>
      <c r="R25" s="28"/>
    </row>
    <row r="26" spans="2:24" ht="15.75" thickBot="1" x14ac:dyDescent="0.3">
      <c r="B26" s="32"/>
      <c r="C26" s="34"/>
      <c r="D26" s="34"/>
      <c r="E26" s="34"/>
      <c r="F26" s="34"/>
      <c r="G26" s="34"/>
      <c r="H26" s="34"/>
      <c r="I26" s="34"/>
      <c r="J26" s="34"/>
      <c r="K26" s="34"/>
      <c r="L26" s="34"/>
      <c r="M26" s="34"/>
      <c r="N26" s="34"/>
      <c r="O26" s="34"/>
      <c r="P26" s="34"/>
      <c r="Q26" s="34"/>
      <c r="R26" s="35"/>
    </row>
    <row r="27" spans="2:24" ht="15.75" thickBot="1" x14ac:dyDescent="0.3"/>
    <row r="28" spans="2:24" x14ac:dyDescent="0.25">
      <c r="B28" s="108" t="s">
        <v>135</v>
      </c>
      <c r="C28" s="109"/>
      <c r="D28" s="109"/>
      <c r="E28" s="109"/>
      <c r="F28" s="109"/>
      <c r="G28" s="109"/>
      <c r="H28" s="109"/>
      <c r="I28" s="109"/>
      <c r="J28" s="109"/>
      <c r="K28" s="109"/>
      <c r="L28" s="109"/>
      <c r="M28" s="109"/>
      <c r="N28" s="109"/>
      <c r="O28" s="109"/>
      <c r="P28" s="109"/>
      <c r="Q28" s="109"/>
      <c r="R28" s="109"/>
      <c r="S28" s="109"/>
      <c r="T28" s="109"/>
      <c r="U28" s="109"/>
      <c r="V28" s="109"/>
      <c r="W28" s="109"/>
      <c r="X28" s="110"/>
    </row>
    <row r="29" spans="2:24" ht="15.75" thickBot="1" x14ac:dyDescent="0.3">
      <c r="B29" s="30"/>
      <c r="C29" s="27"/>
      <c r="D29" s="27"/>
      <c r="E29" s="27"/>
      <c r="F29" s="27"/>
      <c r="G29" s="27"/>
      <c r="H29" s="27"/>
      <c r="I29" s="27"/>
      <c r="J29" s="27"/>
      <c r="K29" s="27"/>
      <c r="L29" s="27"/>
      <c r="M29" s="27"/>
      <c r="N29" s="27"/>
      <c r="O29" s="27"/>
      <c r="P29" s="27"/>
      <c r="Q29" s="27"/>
      <c r="R29" s="27"/>
      <c r="S29" s="27"/>
      <c r="T29" s="27"/>
      <c r="U29" s="27"/>
      <c r="V29" s="27"/>
      <c r="W29" s="27"/>
      <c r="X29" s="28"/>
    </row>
    <row r="30" spans="2:24" ht="15.75" thickBot="1" x14ac:dyDescent="0.3">
      <c r="B30" s="31"/>
      <c r="C30" s="80" t="s">
        <v>10</v>
      </c>
      <c r="D30" s="79" t="s">
        <v>187</v>
      </c>
      <c r="E30" s="78" t="s">
        <v>14</v>
      </c>
      <c r="F30" s="27"/>
      <c r="G30" s="129" t="s">
        <v>188</v>
      </c>
      <c r="H30" s="130"/>
      <c r="I30" s="130"/>
      <c r="J30" s="130"/>
      <c r="K30" s="130"/>
      <c r="L30" s="130"/>
      <c r="M30" s="130"/>
      <c r="N30" s="130"/>
      <c r="O30" s="131"/>
      <c r="P30" s="27"/>
      <c r="Q30" s="129" t="s">
        <v>133</v>
      </c>
      <c r="R30" s="130"/>
      <c r="S30" s="130"/>
      <c r="T30" s="130"/>
      <c r="U30" s="130"/>
      <c r="V30" s="130"/>
      <c r="W30" s="131"/>
      <c r="X30" s="28"/>
    </row>
    <row r="31" spans="2:24" ht="15.75" thickBot="1" x14ac:dyDescent="0.3">
      <c r="B31" s="31"/>
      <c r="F31" s="27"/>
      <c r="G31" s="31"/>
      <c r="H31" s="27"/>
      <c r="I31" s="27"/>
      <c r="J31" s="27"/>
      <c r="K31" s="27"/>
      <c r="L31" s="27"/>
      <c r="M31" s="27"/>
      <c r="N31" s="27"/>
      <c r="O31" s="28"/>
      <c r="P31" s="27"/>
      <c r="Q31" s="31"/>
      <c r="R31" s="27"/>
      <c r="S31" s="27"/>
      <c r="T31" s="27"/>
      <c r="U31" s="27"/>
      <c r="V31" s="27"/>
      <c r="W31" s="28"/>
      <c r="X31" s="28"/>
    </row>
    <row r="32" spans="2:24" x14ac:dyDescent="0.25">
      <c r="B32" s="31"/>
      <c r="C32" s="129" t="s">
        <v>88</v>
      </c>
      <c r="D32" s="130"/>
      <c r="E32" s="131"/>
      <c r="F32" s="27"/>
      <c r="G32" s="31"/>
      <c r="H32" s="129" t="s">
        <v>136</v>
      </c>
      <c r="I32" s="130"/>
      <c r="J32" s="131"/>
      <c r="K32" s="27"/>
      <c r="L32" s="87" t="s">
        <v>134</v>
      </c>
      <c r="M32" s="27"/>
      <c r="N32" s="87" t="s">
        <v>137</v>
      </c>
      <c r="O32" s="28"/>
      <c r="P32" s="27"/>
      <c r="Q32" s="31"/>
      <c r="R32" s="27"/>
      <c r="S32" s="129" t="s">
        <v>132</v>
      </c>
      <c r="T32" s="131"/>
      <c r="U32" s="27"/>
      <c r="V32" s="27"/>
      <c r="W32" s="28"/>
      <c r="X32" s="28"/>
    </row>
    <row r="33" spans="2:24" ht="15.75" thickBot="1" x14ac:dyDescent="0.3">
      <c r="B33" s="31"/>
      <c r="C33" s="32" t="str">
        <f>P3</f>
        <v>s1</v>
      </c>
      <c r="D33" s="34" t="str">
        <f>Q3</f>
        <v>s2</v>
      </c>
      <c r="E33" s="35" t="str">
        <f>N3</f>
        <v>x1</v>
      </c>
      <c r="F33" s="27"/>
      <c r="G33" s="31"/>
      <c r="H33" s="85">
        <v>1</v>
      </c>
      <c r="I33" s="20">
        <v>0</v>
      </c>
      <c r="J33" s="37">
        <v>0</v>
      </c>
      <c r="K33" s="27"/>
      <c r="L33" s="88">
        <f t="array" ref="L33:L35">M22:M24</f>
        <v>2</v>
      </c>
      <c r="M33" s="27"/>
      <c r="N33" s="88">
        <f>-(L33/$L$35)</f>
        <v>-2</v>
      </c>
      <c r="O33" s="28"/>
      <c r="P33" s="27"/>
      <c r="Q33" s="31"/>
      <c r="R33" s="27"/>
      <c r="S33" s="32" t="str">
        <f>O3</f>
        <v>x2</v>
      </c>
      <c r="T33" s="35" t="str">
        <f>R3</f>
        <v>s3</v>
      </c>
      <c r="U33" s="27"/>
      <c r="V33" s="27"/>
      <c r="W33" s="28"/>
      <c r="X33" s="28"/>
    </row>
    <row r="34" spans="2:24" ht="15.75" thickBot="1" x14ac:dyDescent="0.3">
      <c r="B34" s="31"/>
      <c r="C34" s="27"/>
      <c r="D34" s="27"/>
      <c r="E34" s="27"/>
      <c r="F34" s="27"/>
      <c r="G34" s="31"/>
      <c r="H34" s="85">
        <v>0</v>
      </c>
      <c r="I34" s="20">
        <v>1</v>
      </c>
      <c r="J34" s="37">
        <v>0</v>
      </c>
      <c r="K34" s="27"/>
      <c r="L34" s="88">
        <v>1</v>
      </c>
      <c r="M34" s="27"/>
      <c r="N34" s="88">
        <f>-(L34/$L$35)</f>
        <v>-1</v>
      </c>
      <c r="O34" s="28"/>
      <c r="P34" s="27"/>
      <c r="Q34" s="31"/>
      <c r="R34" s="27"/>
      <c r="S34" s="27"/>
      <c r="T34" s="27"/>
      <c r="U34" s="27"/>
      <c r="V34" s="27"/>
      <c r="W34" s="28"/>
      <c r="X34" s="28"/>
    </row>
    <row r="35" spans="2:24" ht="15.75" thickBot="1" x14ac:dyDescent="0.3">
      <c r="B35" s="31"/>
      <c r="C35" s="134" t="s">
        <v>86</v>
      </c>
      <c r="D35" s="136"/>
      <c r="E35" s="135"/>
      <c r="F35" s="27"/>
      <c r="G35" s="31"/>
      <c r="H35" s="84">
        <v>0</v>
      </c>
      <c r="I35" s="39">
        <v>0</v>
      </c>
      <c r="J35" s="40">
        <v>1</v>
      </c>
      <c r="K35" s="27"/>
      <c r="L35" s="89">
        <v>1</v>
      </c>
      <c r="M35" s="27"/>
      <c r="N35" s="89">
        <f>(1/$L$35)</f>
        <v>1</v>
      </c>
      <c r="O35" s="28"/>
      <c r="P35" s="27"/>
      <c r="Q35" s="31"/>
      <c r="R35" s="27"/>
      <c r="S35" s="134" t="s">
        <v>87</v>
      </c>
      <c r="T35" s="135"/>
      <c r="U35" s="27"/>
      <c r="V35" s="27"/>
      <c r="W35" s="28"/>
      <c r="X35" s="28"/>
    </row>
    <row r="36" spans="2:24" ht="15.75" thickBot="1" x14ac:dyDescent="0.3">
      <c r="B36" s="31"/>
      <c r="C36" s="32">
        <f>P4</f>
        <v>0</v>
      </c>
      <c r="D36" s="34">
        <f>Q4</f>
        <v>0</v>
      </c>
      <c r="E36" s="35">
        <f>N4</f>
        <v>3</v>
      </c>
      <c r="F36" s="27"/>
      <c r="G36" s="31"/>
      <c r="H36" s="27"/>
      <c r="I36" s="27"/>
      <c r="J36" s="27"/>
      <c r="K36" s="27"/>
      <c r="L36" s="27"/>
      <c r="M36" s="27"/>
      <c r="N36" s="27"/>
      <c r="O36" s="28"/>
      <c r="P36" s="27"/>
      <c r="Q36" s="31"/>
      <c r="R36" s="27"/>
      <c r="S36" s="32">
        <f>O4</f>
        <v>2</v>
      </c>
      <c r="T36" s="35">
        <f>R4</f>
        <v>0</v>
      </c>
      <c r="U36" s="27"/>
      <c r="V36" s="27"/>
      <c r="W36" s="28"/>
      <c r="X36" s="28"/>
    </row>
    <row r="37" spans="2:24" ht="15.75" thickBot="1" x14ac:dyDescent="0.3">
      <c r="B37" s="31"/>
      <c r="C37" s="27"/>
      <c r="D37" s="27"/>
      <c r="E37" s="27"/>
      <c r="F37" s="27"/>
      <c r="G37" s="31"/>
      <c r="H37" s="129" t="s">
        <v>138</v>
      </c>
      <c r="I37" s="130"/>
      <c r="J37" s="131"/>
      <c r="K37" s="27"/>
      <c r="L37" s="129" t="s">
        <v>68</v>
      </c>
      <c r="M37" s="130"/>
      <c r="N37" s="131"/>
      <c r="O37" s="28"/>
      <c r="P37" s="27"/>
      <c r="Q37" s="31"/>
      <c r="R37" s="27"/>
      <c r="S37" s="27"/>
      <c r="T37" s="27"/>
      <c r="U37" s="27"/>
      <c r="V37" s="27"/>
      <c r="W37" s="28"/>
      <c r="X37" s="28"/>
    </row>
    <row r="38" spans="2:24" x14ac:dyDescent="0.25">
      <c r="B38" s="31"/>
      <c r="C38" s="129" t="s">
        <v>131</v>
      </c>
      <c r="D38" s="130"/>
      <c r="E38" s="131"/>
      <c r="F38" s="27"/>
      <c r="G38" s="31"/>
      <c r="H38" s="85">
        <v>1</v>
      </c>
      <c r="I38" s="20">
        <v>0</v>
      </c>
      <c r="J38" s="37">
        <f t="array" ref="J38:J40">N33:N35</f>
        <v>-2</v>
      </c>
      <c r="K38" s="27"/>
      <c r="L38" s="85">
        <f t="array" ref="L38:N40">MMULT(H38:J40,G19:I21)</f>
        <v>1</v>
      </c>
      <c r="M38" s="20">
        <v>0</v>
      </c>
      <c r="N38" s="37">
        <v>-2</v>
      </c>
      <c r="O38" s="28"/>
      <c r="P38" s="27"/>
      <c r="Q38" s="31"/>
      <c r="R38" s="83"/>
      <c r="S38" s="82">
        <f>MMULT(C39:E39,O5:O7)-O4</f>
        <v>-2</v>
      </c>
      <c r="T38" s="86">
        <f>MMULT(C36:E36,R5:R7)-R4</f>
        <v>3</v>
      </c>
      <c r="U38" s="81" t="s">
        <v>69</v>
      </c>
      <c r="V38" s="98" t="s">
        <v>215</v>
      </c>
      <c r="W38" s="28"/>
      <c r="X38" s="28"/>
    </row>
    <row r="39" spans="2:24" ht="15.75" thickBot="1" x14ac:dyDescent="0.3">
      <c r="B39" s="31"/>
      <c r="C39" s="32">
        <f t="array" ref="C39:E39">MMULT(C36:E36,L38:N40)</f>
        <v>0</v>
      </c>
      <c r="D39" s="34">
        <v>0</v>
      </c>
      <c r="E39" s="35">
        <v>3</v>
      </c>
      <c r="F39" s="27"/>
      <c r="G39" s="31"/>
      <c r="H39" s="85">
        <v>0</v>
      </c>
      <c r="I39" s="20">
        <v>1</v>
      </c>
      <c r="J39" s="37">
        <v>-1</v>
      </c>
      <c r="K39" s="27"/>
      <c r="L39" s="85">
        <v>0</v>
      </c>
      <c r="M39" s="20">
        <v>1</v>
      </c>
      <c r="N39" s="37">
        <v>-1</v>
      </c>
      <c r="O39" s="28"/>
      <c r="P39" s="27"/>
      <c r="Q39" s="31"/>
      <c r="R39" s="132" t="s">
        <v>139</v>
      </c>
      <c r="S39" s="65">
        <f t="array" ref="S39:S41">MMULT(L38:N40,O5:O7)</f>
        <v>1</v>
      </c>
      <c r="T39" s="65"/>
      <c r="U39" s="65">
        <f t="array" ref="U39:U41">MMULT(L38:N40,S5:S7)</f>
        <v>20</v>
      </c>
      <c r="V39" s="90">
        <f>U39/S39</f>
        <v>20</v>
      </c>
      <c r="W39" s="28"/>
      <c r="X39" s="28"/>
    </row>
    <row r="40" spans="2:24" ht="15.75" thickBot="1" x14ac:dyDescent="0.3">
      <c r="B40" s="31"/>
      <c r="C40" s="27"/>
      <c r="D40" s="27"/>
      <c r="E40" s="27"/>
      <c r="F40" s="27"/>
      <c r="G40" s="31"/>
      <c r="H40" s="84">
        <v>0</v>
      </c>
      <c r="I40" s="39">
        <v>0</v>
      </c>
      <c r="J40" s="40">
        <v>1</v>
      </c>
      <c r="K40" s="27"/>
      <c r="L40" s="84">
        <v>0</v>
      </c>
      <c r="M40" s="39">
        <v>0</v>
      </c>
      <c r="N40" s="40">
        <v>1</v>
      </c>
      <c r="O40" s="28"/>
      <c r="P40" s="27"/>
      <c r="Q40" s="31"/>
      <c r="R40" s="132"/>
      <c r="S40" s="65">
        <v>1</v>
      </c>
      <c r="T40" s="66"/>
      <c r="U40" s="66">
        <v>40</v>
      </c>
      <c r="V40" s="53">
        <f>U40/S40</f>
        <v>40</v>
      </c>
      <c r="W40" s="28"/>
      <c r="X40" s="28"/>
    </row>
    <row r="41" spans="2:24" ht="15.75" thickBot="1" x14ac:dyDescent="0.3">
      <c r="B41" s="31"/>
      <c r="C41" s="80" t="s">
        <v>11</v>
      </c>
      <c r="D41" s="79" t="s">
        <v>187</v>
      </c>
      <c r="E41" s="78" t="s">
        <v>12</v>
      </c>
      <c r="F41" s="27"/>
      <c r="G41" s="32"/>
      <c r="H41" s="34"/>
      <c r="I41" s="34"/>
      <c r="J41" s="34"/>
      <c r="K41" s="34"/>
      <c r="L41" s="34"/>
      <c r="M41" s="34"/>
      <c r="N41" s="34"/>
      <c r="O41" s="35"/>
      <c r="P41" s="27"/>
      <c r="Q41" s="31"/>
      <c r="R41" s="133"/>
      <c r="S41" s="77">
        <v>0</v>
      </c>
      <c r="T41" s="57"/>
      <c r="U41" s="57">
        <v>40</v>
      </c>
      <c r="V41" s="91">
        <v>0</v>
      </c>
      <c r="W41" s="28"/>
      <c r="X41" s="28"/>
    </row>
    <row r="42" spans="2:24" ht="15.75" thickBot="1" x14ac:dyDescent="0.3">
      <c r="B42" s="31"/>
      <c r="C42" s="27"/>
      <c r="D42" s="27"/>
      <c r="E42" s="27"/>
      <c r="F42" s="27"/>
      <c r="G42" s="27"/>
      <c r="H42" s="27"/>
      <c r="I42" s="27"/>
      <c r="J42" s="27"/>
      <c r="K42" s="27"/>
      <c r="L42" s="27"/>
      <c r="M42" s="27"/>
      <c r="N42" s="27"/>
      <c r="O42" s="27"/>
      <c r="P42" s="27"/>
      <c r="Q42" s="32"/>
      <c r="R42" s="34"/>
      <c r="S42" s="34"/>
      <c r="T42" s="34"/>
      <c r="U42" s="34"/>
      <c r="V42" s="34"/>
      <c r="W42" s="35"/>
      <c r="X42" s="28"/>
    </row>
    <row r="43" spans="2:24" ht="15.75" thickBot="1" x14ac:dyDescent="0.3">
      <c r="B43" s="32"/>
      <c r="C43" s="34"/>
      <c r="D43" s="34"/>
      <c r="E43" s="34"/>
      <c r="F43" s="34"/>
      <c r="G43" s="34"/>
      <c r="H43" s="34"/>
      <c r="I43" s="34"/>
      <c r="J43" s="34"/>
      <c r="K43" s="34"/>
      <c r="L43" s="34"/>
      <c r="M43" s="34"/>
      <c r="N43" s="34"/>
      <c r="O43" s="34"/>
      <c r="P43" s="34"/>
      <c r="Q43" s="34"/>
      <c r="R43" s="34"/>
      <c r="S43" s="34"/>
      <c r="T43" s="34"/>
      <c r="U43" s="34"/>
      <c r="V43" s="34"/>
      <c r="W43" s="34"/>
      <c r="X43" s="35"/>
    </row>
    <row r="44" spans="2:24" ht="15.75" thickBot="1" x14ac:dyDescent="0.3"/>
    <row r="45" spans="2:24" x14ac:dyDescent="0.25">
      <c r="B45" s="108" t="s">
        <v>140</v>
      </c>
      <c r="C45" s="109"/>
      <c r="D45" s="109"/>
      <c r="E45" s="109"/>
      <c r="F45" s="109"/>
      <c r="G45" s="109"/>
      <c r="H45" s="109"/>
      <c r="I45" s="109"/>
      <c r="J45" s="109"/>
      <c r="K45" s="109"/>
      <c r="L45" s="109"/>
      <c r="M45" s="109"/>
      <c r="N45" s="109"/>
      <c r="O45" s="109"/>
      <c r="P45" s="109"/>
      <c r="Q45" s="109"/>
      <c r="R45" s="109"/>
      <c r="S45" s="109"/>
      <c r="T45" s="109"/>
      <c r="U45" s="109"/>
      <c r="V45" s="109"/>
      <c r="W45" s="109"/>
      <c r="X45" s="110"/>
    </row>
    <row r="46" spans="2:24" ht="15.75" thickBot="1" x14ac:dyDescent="0.3">
      <c r="B46" s="30"/>
      <c r="C46" s="27"/>
      <c r="D46" s="27"/>
      <c r="E46" s="27"/>
      <c r="F46" s="27"/>
      <c r="G46" s="27"/>
      <c r="H46" s="27"/>
      <c r="I46" s="27"/>
      <c r="J46" s="27"/>
      <c r="K46" s="27"/>
      <c r="L46" s="27"/>
      <c r="M46" s="27"/>
      <c r="N46" s="27"/>
      <c r="O46" s="27"/>
      <c r="P46" s="27"/>
      <c r="Q46" s="27"/>
      <c r="R46" s="27"/>
      <c r="S46" s="27"/>
      <c r="T46" s="27"/>
      <c r="U46" s="27"/>
      <c r="V46" s="27"/>
      <c r="W46" s="27"/>
      <c r="X46" s="28"/>
    </row>
    <row r="47" spans="2:24" ht="15.75" thickBot="1" x14ac:dyDescent="0.3">
      <c r="B47" s="31"/>
      <c r="C47" s="80" t="s">
        <v>11</v>
      </c>
      <c r="D47" s="79" t="s">
        <v>187</v>
      </c>
      <c r="E47" s="78" t="s">
        <v>12</v>
      </c>
      <c r="F47" s="27"/>
      <c r="G47" s="129" t="s">
        <v>188</v>
      </c>
      <c r="H47" s="130"/>
      <c r="I47" s="130"/>
      <c r="J47" s="130"/>
      <c r="K47" s="130"/>
      <c r="L47" s="130"/>
      <c r="M47" s="130"/>
      <c r="N47" s="130"/>
      <c r="O47" s="131"/>
      <c r="P47" s="27"/>
      <c r="Q47" s="129" t="s">
        <v>133</v>
      </c>
      <c r="R47" s="130"/>
      <c r="S47" s="130"/>
      <c r="T47" s="130"/>
      <c r="U47" s="130"/>
      <c r="V47" s="130"/>
      <c r="W47" s="131"/>
      <c r="X47" s="28"/>
    </row>
    <row r="48" spans="2:24" ht="15.75" thickBot="1" x14ac:dyDescent="0.3">
      <c r="B48" s="31"/>
      <c r="F48" s="27"/>
      <c r="G48" s="31"/>
      <c r="H48" s="27"/>
      <c r="I48" s="27"/>
      <c r="J48" s="27"/>
      <c r="K48" s="27"/>
      <c r="L48" s="27"/>
      <c r="M48" s="27"/>
      <c r="N48" s="27"/>
      <c r="O48" s="28"/>
      <c r="P48" s="27"/>
      <c r="Q48" s="31"/>
      <c r="R48" s="27"/>
      <c r="S48" s="27"/>
      <c r="T48" s="27"/>
      <c r="U48" s="27"/>
      <c r="V48" s="27"/>
      <c r="W48" s="28"/>
      <c r="X48" s="28"/>
    </row>
    <row r="49" spans="2:24" x14ac:dyDescent="0.25">
      <c r="B49" s="31"/>
      <c r="C49" s="129" t="s">
        <v>88</v>
      </c>
      <c r="D49" s="130"/>
      <c r="E49" s="131"/>
      <c r="F49" s="27"/>
      <c r="G49" s="31"/>
      <c r="H49" s="129" t="s">
        <v>136</v>
      </c>
      <c r="I49" s="130"/>
      <c r="J49" s="131"/>
      <c r="K49" s="27"/>
      <c r="L49" s="87" t="s">
        <v>139</v>
      </c>
      <c r="M49" s="27"/>
      <c r="N49" s="87" t="s">
        <v>141</v>
      </c>
      <c r="O49" s="28"/>
      <c r="P49" s="27"/>
      <c r="Q49" s="31"/>
      <c r="R49" s="27"/>
      <c r="S49" s="129" t="s">
        <v>132</v>
      </c>
      <c r="T49" s="131"/>
      <c r="U49" s="27"/>
      <c r="V49" s="27"/>
      <c r="W49" s="28"/>
      <c r="X49" s="28"/>
    </row>
    <row r="50" spans="2:24" ht="15.75" thickBot="1" x14ac:dyDescent="0.3">
      <c r="B50" s="31"/>
      <c r="C50" s="32" t="str">
        <f>O3</f>
        <v>x2</v>
      </c>
      <c r="D50" s="34" t="str">
        <f>Q3</f>
        <v>s2</v>
      </c>
      <c r="E50" s="35" t="str">
        <f>N3</f>
        <v>x1</v>
      </c>
      <c r="F50" s="27"/>
      <c r="G50" s="31"/>
      <c r="H50" s="85">
        <v>1</v>
      </c>
      <c r="I50" s="20">
        <v>0</v>
      </c>
      <c r="J50" s="37">
        <v>0</v>
      </c>
      <c r="K50" s="27"/>
      <c r="L50" s="88">
        <f t="array" ref="L50:L52">S39:S41</f>
        <v>1</v>
      </c>
      <c r="M50" s="27"/>
      <c r="N50" s="88">
        <f>(1/L50)</f>
        <v>1</v>
      </c>
      <c r="O50" s="28"/>
      <c r="P50" s="27"/>
      <c r="Q50" s="31"/>
      <c r="R50" s="27"/>
      <c r="S50" s="32" t="str">
        <f>P3</f>
        <v>s1</v>
      </c>
      <c r="T50" s="35" t="str">
        <f>R3</f>
        <v>s3</v>
      </c>
      <c r="U50" s="27"/>
      <c r="V50" s="27"/>
      <c r="W50" s="28"/>
      <c r="X50" s="28"/>
    </row>
    <row r="51" spans="2:24" ht="15.75" thickBot="1" x14ac:dyDescent="0.3">
      <c r="B51" s="31"/>
      <c r="C51" s="27"/>
      <c r="D51" s="27"/>
      <c r="E51" s="27"/>
      <c r="F51" s="27"/>
      <c r="G51" s="31"/>
      <c r="H51" s="85">
        <v>0</v>
      </c>
      <c r="I51" s="20">
        <v>1</v>
      </c>
      <c r="J51" s="37">
        <v>0</v>
      </c>
      <c r="K51" s="27"/>
      <c r="L51" s="88">
        <v>1</v>
      </c>
      <c r="M51" s="27"/>
      <c r="N51" s="88">
        <f>-(L51/L50)</f>
        <v>-1</v>
      </c>
      <c r="O51" s="28"/>
      <c r="P51" s="27"/>
      <c r="Q51" s="31"/>
      <c r="R51" s="27"/>
      <c r="S51" s="27"/>
      <c r="T51" s="27"/>
      <c r="U51" s="27"/>
      <c r="V51" s="27"/>
      <c r="W51" s="28"/>
      <c r="X51" s="28"/>
    </row>
    <row r="52" spans="2:24" ht="15.75" thickBot="1" x14ac:dyDescent="0.3">
      <c r="B52" s="31"/>
      <c r="C52" s="134" t="s">
        <v>86</v>
      </c>
      <c r="D52" s="136"/>
      <c r="E52" s="135"/>
      <c r="F52" s="27"/>
      <c r="G52" s="31"/>
      <c r="H52" s="84">
        <v>0</v>
      </c>
      <c r="I52" s="39">
        <v>0</v>
      </c>
      <c r="J52" s="40">
        <v>1</v>
      </c>
      <c r="K52" s="27"/>
      <c r="L52" s="89">
        <v>0</v>
      </c>
      <c r="M52" s="27"/>
      <c r="N52" s="89">
        <f>-(L52/L50)</f>
        <v>0</v>
      </c>
      <c r="O52" s="28"/>
      <c r="P52" s="27"/>
      <c r="Q52" s="31"/>
      <c r="R52" s="27"/>
      <c r="S52" s="134" t="s">
        <v>87</v>
      </c>
      <c r="T52" s="135"/>
      <c r="U52" s="27"/>
      <c r="V52" s="27"/>
      <c r="W52" s="28"/>
      <c r="X52" s="28"/>
    </row>
    <row r="53" spans="2:24" ht="15.75" thickBot="1" x14ac:dyDescent="0.3">
      <c r="B53" s="31"/>
      <c r="C53" s="32">
        <f>O4</f>
        <v>2</v>
      </c>
      <c r="D53" s="34">
        <f>Q4</f>
        <v>0</v>
      </c>
      <c r="E53" s="35">
        <f>N4</f>
        <v>3</v>
      </c>
      <c r="F53" s="27"/>
      <c r="G53" s="31"/>
      <c r="H53" s="27"/>
      <c r="I53" s="27"/>
      <c r="J53" s="27"/>
      <c r="K53" s="27"/>
      <c r="L53" s="27"/>
      <c r="M53" s="27"/>
      <c r="N53" s="27"/>
      <c r="O53" s="28"/>
      <c r="P53" s="27"/>
      <c r="Q53" s="31"/>
      <c r="R53" s="27"/>
      <c r="S53" s="32">
        <f>P4</f>
        <v>0</v>
      </c>
      <c r="T53" s="35">
        <f>R4</f>
        <v>0</v>
      </c>
      <c r="U53" s="27"/>
      <c r="V53" s="27"/>
      <c r="W53" s="28"/>
      <c r="X53" s="28"/>
    </row>
    <row r="54" spans="2:24" ht="15.75" thickBot="1" x14ac:dyDescent="0.3">
      <c r="B54" s="31"/>
      <c r="C54" s="27"/>
      <c r="D54" s="27"/>
      <c r="E54" s="27"/>
      <c r="F54" s="27"/>
      <c r="G54" s="31"/>
      <c r="H54" s="129" t="s">
        <v>138</v>
      </c>
      <c r="I54" s="130"/>
      <c r="J54" s="131"/>
      <c r="K54" s="27"/>
      <c r="L54" s="129" t="s">
        <v>68</v>
      </c>
      <c r="M54" s="130"/>
      <c r="N54" s="131"/>
      <c r="O54" s="28"/>
      <c r="P54" s="27"/>
      <c r="Q54" s="31"/>
      <c r="R54" s="27"/>
      <c r="S54" s="27"/>
      <c r="T54" s="27"/>
      <c r="U54" s="27"/>
      <c r="V54" s="27"/>
      <c r="W54" s="28"/>
      <c r="X54" s="28"/>
    </row>
    <row r="55" spans="2:24" x14ac:dyDescent="0.25">
      <c r="B55" s="31"/>
      <c r="C55" s="129" t="s">
        <v>131</v>
      </c>
      <c r="D55" s="130"/>
      <c r="E55" s="131"/>
      <c r="F55" s="27"/>
      <c r="G55" s="31"/>
      <c r="H55" s="85">
        <f t="array" ref="H55:H57">N50:N52</f>
        <v>1</v>
      </c>
      <c r="I55" s="20">
        <v>0</v>
      </c>
      <c r="J55" s="37">
        <v>0</v>
      </c>
      <c r="K55" s="27"/>
      <c r="L55" s="85">
        <f t="array" ref="L55:N57">MMULT(H55:J57,L38:N40)</f>
        <v>1</v>
      </c>
      <c r="M55" s="20">
        <v>0</v>
      </c>
      <c r="N55" s="37">
        <v>-2</v>
      </c>
      <c r="O55" s="28"/>
      <c r="P55" s="27"/>
      <c r="Q55" s="31"/>
      <c r="R55" s="83"/>
      <c r="S55" s="86">
        <f>MMULT(C56:E56,P5:P7)-P4</f>
        <v>2</v>
      </c>
      <c r="T55" s="82">
        <f>MMULT(C56:E56,R5:R7)-R4</f>
        <v>-1</v>
      </c>
      <c r="U55" s="81" t="s">
        <v>69</v>
      </c>
      <c r="V55" s="98" t="s">
        <v>215</v>
      </c>
      <c r="W55" s="28"/>
      <c r="X55" s="28"/>
    </row>
    <row r="56" spans="2:24" ht="15.75" thickBot="1" x14ac:dyDescent="0.3">
      <c r="B56" s="31"/>
      <c r="C56" s="32">
        <f t="array" ref="C56:E56">MMULT(C53:E53,L55:N57)</f>
        <v>2</v>
      </c>
      <c r="D56" s="34">
        <v>0</v>
      </c>
      <c r="E56" s="35">
        <v>-1</v>
      </c>
      <c r="F56" s="27"/>
      <c r="G56" s="31"/>
      <c r="H56" s="85">
        <v>-1</v>
      </c>
      <c r="I56" s="20">
        <v>1</v>
      </c>
      <c r="J56" s="37">
        <v>0</v>
      </c>
      <c r="K56" s="27"/>
      <c r="L56" s="85">
        <v>-1</v>
      </c>
      <c r="M56" s="20">
        <v>1</v>
      </c>
      <c r="N56" s="37">
        <v>1</v>
      </c>
      <c r="O56" s="28"/>
      <c r="P56" s="27"/>
      <c r="Q56" s="31"/>
      <c r="R56" s="132" t="s">
        <v>142</v>
      </c>
      <c r="S56" s="66"/>
      <c r="T56" s="65">
        <f t="array" ref="T56:T58">MMULT(L55:N57,R5:R7)</f>
        <v>-2</v>
      </c>
      <c r="U56" s="66">
        <f t="array" ref="U56:U58">MMULT(L55:N57,S5:S7)</f>
        <v>20</v>
      </c>
      <c r="V56" s="53">
        <f>U56/T56</f>
        <v>-10</v>
      </c>
      <c r="W56" s="28"/>
      <c r="X56" s="28"/>
    </row>
    <row r="57" spans="2:24" ht="15.75" thickBot="1" x14ac:dyDescent="0.3">
      <c r="B57" s="31"/>
      <c r="C57" s="27"/>
      <c r="D57" s="27"/>
      <c r="E57" s="27"/>
      <c r="F57" s="27"/>
      <c r="G57" s="31"/>
      <c r="H57" s="84">
        <v>0</v>
      </c>
      <c r="I57" s="39">
        <v>0</v>
      </c>
      <c r="J57" s="40">
        <v>1</v>
      </c>
      <c r="K57" s="27"/>
      <c r="L57" s="84">
        <v>0</v>
      </c>
      <c r="M57" s="39">
        <v>0</v>
      </c>
      <c r="N57" s="40">
        <v>1</v>
      </c>
      <c r="O57" s="28"/>
      <c r="P57" s="27"/>
      <c r="Q57" s="31"/>
      <c r="R57" s="132"/>
      <c r="S57" s="66"/>
      <c r="T57" s="65">
        <v>1</v>
      </c>
      <c r="U57" s="65">
        <v>20</v>
      </c>
      <c r="V57" s="90">
        <f>U57/T57</f>
        <v>20</v>
      </c>
      <c r="W57" s="28"/>
      <c r="X57" s="28"/>
    </row>
    <row r="58" spans="2:24" ht="15.75" thickBot="1" x14ac:dyDescent="0.3">
      <c r="B58" s="31"/>
      <c r="C58" s="80" t="s">
        <v>14</v>
      </c>
      <c r="D58" s="79" t="s">
        <v>187</v>
      </c>
      <c r="E58" s="78" t="s">
        <v>13</v>
      </c>
      <c r="F58" s="27"/>
      <c r="G58" s="32"/>
      <c r="H58" s="34"/>
      <c r="I58" s="34"/>
      <c r="J58" s="34"/>
      <c r="K58" s="34"/>
      <c r="L58" s="34"/>
      <c r="M58" s="34"/>
      <c r="N58" s="34"/>
      <c r="O58" s="35"/>
      <c r="P58" s="27"/>
      <c r="Q58" s="31"/>
      <c r="R58" s="133"/>
      <c r="S58" s="57"/>
      <c r="T58" s="77">
        <v>1</v>
      </c>
      <c r="U58" s="57">
        <v>40</v>
      </c>
      <c r="V58" s="91">
        <f>U58/T58</f>
        <v>40</v>
      </c>
      <c r="W58" s="28"/>
      <c r="X58" s="28"/>
    </row>
    <row r="59" spans="2:24" ht="15.75" thickBot="1" x14ac:dyDescent="0.3">
      <c r="B59" s="31"/>
      <c r="C59" s="27"/>
      <c r="D59" s="27"/>
      <c r="E59" s="27"/>
      <c r="F59" s="27"/>
      <c r="G59" s="27"/>
      <c r="H59" s="27"/>
      <c r="I59" s="27"/>
      <c r="J59" s="27"/>
      <c r="K59" s="27"/>
      <c r="L59" s="27"/>
      <c r="M59" s="27"/>
      <c r="N59" s="27"/>
      <c r="O59" s="27"/>
      <c r="P59" s="27"/>
      <c r="Q59" s="32"/>
      <c r="R59" s="34"/>
      <c r="S59" s="34"/>
      <c r="T59" s="34"/>
      <c r="U59" s="34"/>
      <c r="V59" s="34"/>
      <c r="W59" s="35"/>
      <c r="X59" s="28"/>
    </row>
    <row r="60" spans="2:24" ht="15.75" thickBot="1" x14ac:dyDescent="0.3">
      <c r="B60" s="32"/>
      <c r="C60" s="34"/>
      <c r="D60" s="34"/>
      <c r="E60" s="34"/>
      <c r="F60" s="34"/>
      <c r="G60" s="34"/>
      <c r="H60" s="34"/>
      <c r="I60" s="34"/>
      <c r="J60" s="34"/>
      <c r="K60" s="34"/>
      <c r="L60" s="34"/>
      <c r="M60" s="34"/>
      <c r="N60" s="34"/>
      <c r="O60" s="34"/>
      <c r="P60" s="34"/>
      <c r="Q60" s="34"/>
      <c r="R60" s="34"/>
      <c r="S60" s="34"/>
      <c r="T60" s="34"/>
      <c r="U60" s="34"/>
      <c r="V60" s="34"/>
      <c r="W60" s="34"/>
      <c r="X60" s="35"/>
    </row>
    <row r="61" spans="2:24" ht="15.75" thickBot="1" x14ac:dyDescent="0.3"/>
    <row r="62" spans="2:24" x14ac:dyDescent="0.25">
      <c r="B62" s="108" t="s">
        <v>140</v>
      </c>
      <c r="C62" s="109"/>
      <c r="D62" s="109"/>
      <c r="E62" s="109"/>
      <c r="F62" s="109"/>
      <c r="G62" s="109"/>
      <c r="H62" s="109"/>
      <c r="I62" s="109"/>
      <c r="J62" s="109"/>
      <c r="K62" s="109"/>
      <c r="L62" s="109"/>
      <c r="M62" s="109"/>
      <c r="N62" s="109"/>
      <c r="O62" s="109"/>
      <c r="P62" s="109"/>
      <c r="Q62" s="109"/>
      <c r="R62" s="109"/>
      <c r="S62" s="109"/>
      <c r="T62" s="109"/>
      <c r="U62" s="109"/>
      <c r="V62" s="109"/>
      <c r="W62" s="109"/>
      <c r="X62" s="110"/>
    </row>
    <row r="63" spans="2:24" ht="15.75" thickBot="1" x14ac:dyDescent="0.3">
      <c r="B63" s="30"/>
      <c r="C63" s="27"/>
      <c r="D63" s="27"/>
      <c r="E63" s="27"/>
      <c r="F63" s="27"/>
      <c r="G63" s="27"/>
      <c r="H63" s="27"/>
      <c r="I63" s="27"/>
      <c r="J63" s="27"/>
      <c r="K63" s="27"/>
      <c r="L63" s="27"/>
      <c r="M63" s="27"/>
      <c r="N63" s="27"/>
      <c r="O63" s="27"/>
      <c r="P63" s="27"/>
      <c r="Q63" s="27"/>
      <c r="R63" s="27"/>
      <c r="S63" s="27"/>
      <c r="T63" s="27"/>
      <c r="U63" s="27"/>
      <c r="V63" s="27"/>
      <c r="W63" s="27"/>
      <c r="X63" s="28"/>
    </row>
    <row r="64" spans="2:24" ht="15.75" thickBot="1" x14ac:dyDescent="0.3">
      <c r="B64" s="31"/>
      <c r="C64" s="80" t="s">
        <v>11</v>
      </c>
      <c r="D64" s="79" t="s">
        <v>187</v>
      </c>
      <c r="E64" s="78" t="s">
        <v>12</v>
      </c>
      <c r="F64" s="27"/>
      <c r="G64" s="129" t="s">
        <v>188</v>
      </c>
      <c r="H64" s="130"/>
      <c r="I64" s="130"/>
      <c r="J64" s="130"/>
      <c r="K64" s="130"/>
      <c r="L64" s="130"/>
      <c r="M64" s="130"/>
      <c r="N64" s="130"/>
      <c r="O64" s="131"/>
      <c r="P64" s="27"/>
      <c r="Q64" s="129" t="s">
        <v>133</v>
      </c>
      <c r="R64" s="130"/>
      <c r="S64" s="130"/>
      <c r="T64" s="130"/>
      <c r="U64" s="130"/>
      <c r="V64" s="130"/>
      <c r="W64" s="131"/>
      <c r="X64" s="28"/>
    </row>
    <row r="65" spans="2:24" ht="15.75" thickBot="1" x14ac:dyDescent="0.3">
      <c r="B65" s="31"/>
      <c r="F65" s="27"/>
      <c r="G65" s="31"/>
      <c r="H65" s="27"/>
      <c r="I65" s="27"/>
      <c r="J65" s="27"/>
      <c r="K65" s="27"/>
      <c r="L65" s="27"/>
      <c r="M65" s="27"/>
      <c r="N65" s="27"/>
      <c r="O65" s="28"/>
      <c r="P65" s="27"/>
      <c r="Q65" s="31"/>
      <c r="R65" s="27"/>
      <c r="S65" s="27"/>
      <c r="T65" s="27"/>
      <c r="U65" s="27"/>
      <c r="V65" s="27"/>
      <c r="W65" s="28"/>
      <c r="X65" s="28"/>
    </row>
    <row r="66" spans="2:24" x14ac:dyDescent="0.25">
      <c r="B66" s="31"/>
      <c r="C66" s="129" t="s">
        <v>88</v>
      </c>
      <c r="D66" s="130"/>
      <c r="E66" s="131"/>
      <c r="F66" s="27"/>
      <c r="G66" s="31"/>
      <c r="H66" s="129" t="s">
        <v>136</v>
      </c>
      <c r="I66" s="130"/>
      <c r="J66" s="131"/>
      <c r="K66" s="27"/>
      <c r="L66" s="87" t="s">
        <v>142</v>
      </c>
      <c r="M66" s="27"/>
      <c r="N66" s="87" t="s">
        <v>144</v>
      </c>
      <c r="O66" s="28"/>
      <c r="P66" s="27"/>
      <c r="Q66" s="31"/>
      <c r="R66" s="27"/>
      <c r="S66" s="129" t="s">
        <v>132</v>
      </c>
      <c r="T66" s="131"/>
      <c r="U66" s="27"/>
      <c r="V66" s="27"/>
      <c r="W66" s="28"/>
      <c r="X66" s="28"/>
    </row>
    <row r="67" spans="2:24" ht="15.75" thickBot="1" x14ac:dyDescent="0.3">
      <c r="B67" s="31"/>
      <c r="C67" s="32" t="str">
        <f>O3</f>
        <v>x2</v>
      </c>
      <c r="D67" s="34" t="str">
        <f>R3</f>
        <v>s3</v>
      </c>
      <c r="E67" s="35" t="str">
        <f>N3</f>
        <v>x1</v>
      </c>
      <c r="F67" s="27"/>
      <c r="G67" s="31"/>
      <c r="H67" s="85">
        <v>1</v>
      </c>
      <c r="I67" s="20">
        <v>0</v>
      </c>
      <c r="J67" s="37">
        <v>0</v>
      </c>
      <c r="K67" s="27"/>
      <c r="L67" s="88">
        <f t="array" ref="L67:L69">T56:T58</f>
        <v>-2</v>
      </c>
      <c r="M67" s="27"/>
      <c r="N67" s="88">
        <f>-(L67/L68)</f>
        <v>2</v>
      </c>
      <c r="O67" s="28"/>
      <c r="P67" s="27"/>
      <c r="Q67" s="31"/>
      <c r="R67" s="27"/>
      <c r="S67" s="32" t="str">
        <f>P3</f>
        <v>s1</v>
      </c>
      <c r="T67" s="35" t="str">
        <f>Q3</f>
        <v>s2</v>
      </c>
      <c r="U67" s="27"/>
      <c r="V67" s="27"/>
      <c r="W67" s="28"/>
      <c r="X67" s="28"/>
    </row>
    <row r="68" spans="2:24" ht="15.75" thickBot="1" x14ac:dyDescent="0.3">
      <c r="B68" s="31"/>
      <c r="C68" s="27"/>
      <c r="D68" s="27"/>
      <c r="E68" s="27"/>
      <c r="F68" s="27"/>
      <c r="G68" s="31"/>
      <c r="H68" s="85">
        <v>0</v>
      </c>
      <c r="I68" s="20">
        <v>1</v>
      </c>
      <c r="J68" s="37">
        <v>0</v>
      </c>
      <c r="K68" s="27"/>
      <c r="L68" s="88">
        <v>1</v>
      </c>
      <c r="M68" s="27"/>
      <c r="N68" s="88">
        <f>1/L68</f>
        <v>1</v>
      </c>
      <c r="O68" s="28"/>
      <c r="P68" s="27"/>
      <c r="Q68" s="31"/>
      <c r="R68" s="27"/>
      <c r="S68" s="27"/>
      <c r="T68" s="27"/>
      <c r="U68" s="27"/>
      <c r="V68" s="27"/>
      <c r="W68" s="28"/>
      <c r="X68" s="28"/>
    </row>
    <row r="69" spans="2:24" ht="15.75" thickBot="1" x14ac:dyDescent="0.3">
      <c r="B69" s="31"/>
      <c r="C69" s="134" t="s">
        <v>86</v>
      </c>
      <c r="D69" s="136"/>
      <c r="E69" s="135"/>
      <c r="F69" s="27"/>
      <c r="G69" s="31"/>
      <c r="H69" s="84">
        <v>0</v>
      </c>
      <c r="I69" s="39">
        <v>0</v>
      </c>
      <c r="J69" s="40">
        <v>1</v>
      </c>
      <c r="K69" s="27"/>
      <c r="L69" s="89">
        <v>1</v>
      </c>
      <c r="M69" s="27"/>
      <c r="N69" s="89">
        <f>-(L69/L68)</f>
        <v>-1</v>
      </c>
      <c r="O69" s="28"/>
      <c r="P69" s="27"/>
      <c r="Q69" s="31"/>
      <c r="R69" s="27"/>
      <c r="S69" s="134" t="s">
        <v>87</v>
      </c>
      <c r="T69" s="135"/>
      <c r="U69" s="27"/>
      <c r="V69" s="27"/>
      <c r="W69" s="28"/>
      <c r="X69" s="28"/>
    </row>
    <row r="70" spans="2:24" ht="15.75" thickBot="1" x14ac:dyDescent="0.3">
      <c r="B70" s="31"/>
      <c r="C70" s="32">
        <f>O4</f>
        <v>2</v>
      </c>
      <c r="D70" s="34">
        <f>R4</f>
        <v>0</v>
      </c>
      <c r="E70" s="35">
        <f>N4</f>
        <v>3</v>
      </c>
      <c r="F70" s="27"/>
      <c r="G70" s="31"/>
      <c r="H70" s="27"/>
      <c r="I70" s="27"/>
      <c r="J70" s="27"/>
      <c r="K70" s="27"/>
      <c r="L70" s="27"/>
      <c r="M70" s="27"/>
      <c r="N70" s="27"/>
      <c r="O70" s="28"/>
      <c r="P70" s="27"/>
      <c r="Q70" s="31"/>
      <c r="R70" s="27"/>
      <c r="S70" s="32">
        <f>P4</f>
        <v>0</v>
      </c>
      <c r="T70" s="35">
        <f>Q4</f>
        <v>0</v>
      </c>
      <c r="U70" s="27"/>
      <c r="V70" s="27"/>
      <c r="W70" s="28"/>
      <c r="X70" s="28"/>
    </row>
    <row r="71" spans="2:24" ht="15.75" thickBot="1" x14ac:dyDescent="0.3">
      <c r="B71" s="31"/>
      <c r="C71" s="27"/>
      <c r="D71" s="27"/>
      <c r="E71" s="27"/>
      <c r="F71" s="27"/>
      <c r="G71" s="31"/>
      <c r="H71" s="129" t="s">
        <v>138</v>
      </c>
      <c r="I71" s="130"/>
      <c r="J71" s="131"/>
      <c r="K71" s="27"/>
      <c r="L71" s="129" t="s">
        <v>68</v>
      </c>
      <c r="M71" s="130"/>
      <c r="N71" s="131"/>
      <c r="O71" s="28"/>
      <c r="P71" s="27"/>
      <c r="Q71" s="31"/>
      <c r="R71" s="27"/>
      <c r="S71" s="27"/>
      <c r="T71" s="27"/>
      <c r="U71" s="27"/>
      <c r="V71" s="27"/>
      <c r="W71" s="28"/>
      <c r="X71" s="28"/>
    </row>
    <row r="72" spans="2:24" ht="15.75" thickBot="1" x14ac:dyDescent="0.3">
      <c r="B72" s="31"/>
      <c r="C72" s="129" t="s">
        <v>131</v>
      </c>
      <c r="D72" s="130"/>
      <c r="E72" s="131"/>
      <c r="F72" s="27"/>
      <c r="G72" s="31"/>
      <c r="H72" s="85">
        <v>1</v>
      </c>
      <c r="I72" s="20">
        <f t="array" ref="I72:I74">N67:N69</f>
        <v>2</v>
      </c>
      <c r="J72" s="37">
        <v>0</v>
      </c>
      <c r="K72" s="27"/>
      <c r="L72" s="85">
        <f t="array" ref="L72:N74">MMULT(H72:J74,L55:N57)</f>
        <v>-1</v>
      </c>
      <c r="M72" s="20">
        <v>2</v>
      </c>
      <c r="N72" s="37">
        <v>0</v>
      </c>
      <c r="O72" s="28"/>
      <c r="P72" s="27"/>
      <c r="Q72" s="31"/>
      <c r="R72" s="27"/>
      <c r="S72" s="92">
        <f>MMULT($C$73:$E$73,P5:P7)-P4</f>
        <v>1</v>
      </c>
      <c r="T72" s="93">
        <f>MMULT($C$73:$E$73,Q5:Q7)-Q4</f>
        <v>1</v>
      </c>
      <c r="U72" s="44"/>
      <c r="V72" s="44"/>
      <c r="W72" s="28"/>
      <c r="X72" s="28"/>
    </row>
    <row r="73" spans="2:24" ht="15.75" thickBot="1" x14ac:dyDescent="0.3">
      <c r="B73" s="31"/>
      <c r="C73" s="32">
        <f t="array" ref="C73:E73">MMULT(C70:E70,L72:N74)</f>
        <v>1</v>
      </c>
      <c r="D73" s="34">
        <v>1</v>
      </c>
      <c r="E73" s="35">
        <v>0</v>
      </c>
      <c r="F73" s="27"/>
      <c r="G73" s="31"/>
      <c r="H73" s="85">
        <v>0</v>
      </c>
      <c r="I73" s="20">
        <v>1</v>
      </c>
      <c r="J73" s="37">
        <v>0</v>
      </c>
      <c r="K73" s="27"/>
      <c r="L73" s="85">
        <v>-1</v>
      </c>
      <c r="M73" s="20">
        <v>1</v>
      </c>
      <c r="N73" s="37">
        <v>1</v>
      </c>
      <c r="O73" s="28"/>
      <c r="P73" s="27"/>
      <c r="Q73" s="31"/>
      <c r="R73" s="140"/>
      <c r="S73" s="66"/>
      <c r="T73" s="66"/>
      <c r="U73" s="66"/>
      <c r="V73" s="66"/>
      <c r="W73" s="28"/>
      <c r="X73" s="28"/>
    </row>
    <row r="74" spans="2:24" ht="15.75" thickBot="1" x14ac:dyDescent="0.3">
      <c r="B74" s="31"/>
      <c r="C74" s="27"/>
      <c r="D74" s="27"/>
      <c r="E74" s="27"/>
      <c r="F74" s="27"/>
      <c r="G74" s="31"/>
      <c r="H74" s="84">
        <v>0</v>
      </c>
      <c r="I74" s="39">
        <v>-1</v>
      </c>
      <c r="J74" s="40">
        <v>1</v>
      </c>
      <c r="K74" s="27"/>
      <c r="L74" s="84">
        <v>1</v>
      </c>
      <c r="M74" s="39">
        <v>-1</v>
      </c>
      <c r="N74" s="40">
        <v>0</v>
      </c>
      <c r="O74" s="28"/>
      <c r="P74" s="27"/>
      <c r="Q74" s="31"/>
      <c r="R74" s="140"/>
      <c r="S74" s="66"/>
      <c r="T74" s="66"/>
      <c r="U74" s="66"/>
      <c r="V74" s="66"/>
      <c r="W74" s="28"/>
      <c r="X74" s="28"/>
    </row>
    <row r="75" spans="2:24" ht="15.75" thickBot="1" x14ac:dyDescent="0.3">
      <c r="B75" s="31"/>
      <c r="C75" s="137" t="s">
        <v>189</v>
      </c>
      <c r="D75" s="138"/>
      <c r="E75" s="139"/>
      <c r="F75" s="27"/>
      <c r="G75" s="32"/>
      <c r="H75" s="34"/>
      <c r="I75" s="34"/>
      <c r="J75" s="34"/>
      <c r="K75" s="34"/>
      <c r="L75" s="34"/>
      <c r="M75" s="34"/>
      <c r="N75" s="34"/>
      <c r="O75" s="35"/>
      <c r="P75" s="27"/>
      <c r="Q75" s="31"/>
      <c r="R75" s="140"/>
      <c r="S75" s="66"/>
      <c r="T75" s="66"/>
      <c r="U75" s="66"/>
      <c r="V75" s="66"/>
      <c r="W75" s="28"/>
      <c r="X75" s="28"/>
    </row>
    <row r="76" spans="2:24" ht="15.75" thickBot="1" x14ac:dyDescent="0.3">
      <c r="B76" s="31"/>
      <c r="C76" s="27"/>
      <c r="D76" s="27"/>
      <c r="E76" s="27"/>
      <c r="F76" s="27"/>
      <c r="G76" s="27"/>
      <c r="H76" s="27"/>
      <c r="I76" s="27"/>
      <c r="J76" s="27"/>
      <c r="K76" s="27"/>
      <c r="L76" s="27"/>
      <c r="M76" s="27"/>
      <c r="N76" s="27"/>
      <c r="O76" s="27"/>
      <c r="P76" s="27"/>
      <c r="Q76" s="32"/>
      <c r="R76" s="34"/>
      <c r="S76" s="34"/>
      <c r="T76" s="34"/>
      <c r="U76" s="34"/>
      <c r="V76" s="34"/>
      <c r="W76" s="35"/>
      <c r="X76" s="28"/>
    </row>
    <row r="77" spans="2:24" ht="15.75" thickBot="1" x14ac:dyDescent="0.3">
      <c r="B77" s="32"/>
      <c r="C77" s="34"/>
      <c r="D77" s="34"/>
      <c r="E77" s="34"/>
      <c r="F77" s="34"/>
      <c r="G77" s="34"/>
      <c r="H77" s="34"/>
      <c r="I77" s="34"/>
      <c r="J77" s="34"/>
      <c r="K77" s="34"/>
      <c r="L77" s="34"/>
      <c r="M77" s="34"/>
      <c r="N77" s="34"/>
      <c r="O77" s="34"/>
      <c r="P77" s="34"/>
      <c r="Q77" s="34"/>
      <c r="R77" s="34"/>
      <c r="S77" s="34"/>
      <c r="T77" s="34"/>
      <c r="U77" s="34"/>
      <c r="V77" s="34"/>
      <c r="W77" s="34"/>
      <c r="X77" s="35"/>
    </row>
    <row r="79" spans="2:24" ht="15.75" thickBot="1" x14ac:dyDescent="0.3"/>
    <row r="80" spans="2:24" x14ac:dyDescent="0.25">
      <c r="B80" s="43" t="s">
        <v>143</v>
      </c>
      <c r="C80" s="2" t="s">
        <v>10</v>
      </c>
      <c r="D80" s="2" t="s">
        <v>11</v>
      </c>
      <c r="E80" s="2" t="s">
        <v>12</v>
      </c>
      <c r="F80" s="2" t="s">
        <v>13</v>
      </c>
      <c r="G80" s="2" t="s">
        <v>14</v>
      </c>
      <c r="H80" s="3" t="s">
        <v>15</v>
      </c>
    </row>
    <row r="81" spans="2:8" x14ac:dyDescent="0.25">
      <c r="B81" s="29">
        <v>0</v>
      </c>
      <c r="C81" s="20">
        <f t="shared" ref="C81:H81" si="0">MMULT($C$73:$E$73,N5:N7)-N4</f>
        <v>0</v>
      </c>
      <c r="D81" s="20">
        <f t="shared" si="0"/>
        <v>0</v>
      </c>
      <c r="E81" s="20">
        <f t="shared" si="0"/>
        <v>1</v>
      </c>
      <c r="F81" s="20">
        <f t="shared" si="0"/>
        <v>1</v>
      </c>
      <c r="G81" s="20">
        <f t="shared" si="0"/>
        <v>0</v>
      </c>
      <c r="H81" s="37">
        <f t="shared" si="0"/>
        <v>180</v>
      </c>
    </row>
    <row r="82" spans="2:8" x14ac:dyDescent="0.25">
      <c r="B82" s="29">
        <v>1</v>
      </c>
      <c r="C82" s="20">
        <f t="array" ref="C82:C84">MMULT($L$72:$N$74,N5:N7)</f>
        <v>0</v>
      </c>
      <c r="D82" s="20">
        <f t="array" ref="D82:D84">MMULT($L$72:$N$74,O5:O7)</f>
        <v>1</v>
      </c>
      <c r="E82" s="20">
        <f t="array" ref="E82:E84">MMULT($L$72:$N$74,P5:P7)</f>
        <v>-1</v>
      </c>
      <c r="F82" s="20">
        <f t="array" ref="F82:F84">MMULT($L$72:$N$74,Q5:Q7)</f>
        <v>2</v>
      </c>
      <c r="G82" s="20">
        <f t="array" ref="G82:G84">MMULT($L$72:$N$74,R5:R7)</f>
        <v>0</v>
      </c>
      <c r="H82" s="37">
        <f t="array" ref="H82:H84">MMULT($L$72:$N$74,S5:S7)</f>
        <v>60</v>
      </c>
    </row>
    <row r="83" spans="2:8" x14ac:dyDescent="0.25">
      <c r="B83" s="29">
        <v>2</v>
      </c>
      <c r="C83" s="20">
        <v>0</v>
      </c>
      <c r="D83" s="20">
        <v>0</v>
      </c>
      <c r="E83" s="20">
        <v>-1</v>
      </c>
      <c r="F83" s="20">
        <v>1</v>
      </c>
      <c r="G83" s="20">
        <v>1</v>
      </c>
      <c r="H83" s="37">
        <v>20</v>
      </c>
    </row>
    <row r="84" spans="2:8" ht="15.75" thickBot="1" x14ac:dyDescent="0.3">
      <c r="B84" s="38">
        <v>3</v>
      </c>
      <c r="C84" s="39">
        <v>1</v>
      </c>
      <c r="D84" s="39">
        <v>0</v>
      </c>
      <c r="E84" s="39">
        <v>1</v>
      </c>
      <c r="F84" s="39">
        <v>-1</v>
      </c>
      <c r="G84" s="39">
        <v>0</v>
      </c>
      <c r="H84" s="40">
        <v>20</v>
      </c>
    </row>
  </sheetData>
  <mergeCells count="49">
    <mergeCell ref="B2:K2"/>
    <mergeCell ref="C75:E75"/>
    <mergeCell ref="H54:J54"/>
    <mergeCell ref="L54:N54"/>
    <mergeCell ref="S32:T32"/>
    <mergeCell ref="C35:E35"/>
    <mergeCell ref="S35:T35"/>
    <mergeCell ref="R73:R75"/>
    <mergeCell ref="H37:J37"/>
    <mergeCell ref="L37:N37"/>
    <mergeCell ref="C38:E38"/>
    <mergeCell ref="R39:R41"/>
    <mergeCell ref="B45:X45"/>
    <mergeCell ref="Q47:W47"/>
    <mergeCell ref="C49:E49"/>
    <mergeCell ref="H49:J49"/>
    <mergeCell ref="S49:T49"/>
    <mergeCell ref="C52:E52"/>
    <mergeCell ref="S52:T52"/>
    <mergeCell ref="G47:O47"/>
    <mergeCell ref="C13:E13"/>
    <mergeCell ref="C16:E16"/>
    <mergeCell ref="G18:I18"/>
    <mergeCell ref="C32:E32"/>
    <mergeCell ref="H32:J32"/>
    <mergeCell ref="S66:T66"/>
    <mergeCell ref="C69:E69"/>
    <mergeCell ref="S69:T69"/>
    <mergeCell ref="C55:E55"/>
    <mergeCell ref="R56:R58"/>
    <mergeCell ref="B62:X62"/>
    <mergeCell ref="G64:O64"/>
    <mergeCell ref="Q64:W64"/>
    <mergeCell ref="H71:J71"/>
    <mergeCell ref="L71:N71"/>
    <mergeCell ref="C72:E72"/>
    <mergeCell ref="M2:S2"/>
    <mergeCell ref="C66:E66"/>
    <mergeCell ref="H66:J66"/>
    <mergeCell ref="C19:E19"/>
    <mergeCell ref="L22:L24"/>
    <mergeCell ref="B28:X28"/>
    <mergeCell ref="G30:O30"/>
    <mergeCell ref="Q30:W30"/>
    <mergeCell ref="B11:R11"/>
    <mergeCell ref="G13:I13"/>
    <mergeCell ref="K13:Q13"/>
    <mergeCell ref="M15:N15"/>
    <mergeCell ref="M18:N1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LP</vt:lpstr>
      <vt:lpstr>SR</vt:lpstr>
      <vt:lpstr>Math. Prelims.</vt:lpstr>
      <vt:lpstr>Algo - Primal Simplex</vt:lpstr>
      <vt:lpstr>Algo - Revised Primal Simplex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Andries J. Welgemoed</dc:creator>
  <cp:lastModifiedBy>Andries Welgemoed</cp:lastModifiedBy>
  <cp:lastPrinted>2014-10-13T04:53:56Z</cp:lastPrinted>
  <dcterms:created xsi:type="dcterms:W3CDTF">2013-08-27T05:09:33Z</dcterms:created>
  <dcterms:modified xsi:type="dcterms:W3CDTF">2017-07-28T09:42:23Z</dcterms:modified>
</cp:coreProperties>
</file>